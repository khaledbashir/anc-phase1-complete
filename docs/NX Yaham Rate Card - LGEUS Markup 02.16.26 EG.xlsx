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ancny.sharepoint.com/sites/ANC/Sales/# ANC Sales Department/Vendors &amp; Partnerships/Technology &amp; LED/Yaham/Product Pricing LGEUS/"/>
    </mc:Choice>
  </mc:AlternateContent>
  <xr:revisionPtr revIDLastSave="68" documentId="8_{B4BD5530-8720-45EF-B865-A6C8D39F9825}" xr6:coauthVersionLast="47" xr6:coauthVersionMax="47" xr10:uidLastSave="{C290FF4B-6038-4C3B-BC5D-EB16ABDC0B51}"/>
  <bookViews>
    <workbookView xWindow="-2745" yWindow="-21720" windowWidth="51840" windowHeight="21120" xr2:uid="{00000000-000D-0000-FFFF-FFFF00000000}"/>
  </bookViews>
  <sheets>
    <sheet name="NX Outdoor Sport" sheetId="39" r:id="rId1"/>
    <sheet name="NX Indoor Sport" sheetId="38" r:id="rId2"/>
  </sheets>
  <definedNames>
    <definedName name="cree">#REF!</definedName>
    <definedName name="mc">#REF!</definedName>
    <definedName name="NICHIA">#REF!</definedName>
    <definedName name="NS">#REF!</definedName>
    <definedName name="Others">#REF!</definedName>
    <definedName name="_xlnm.Print_Area" localSheetId="1">'NX Indoor Sport'!$B$2:$C$54</definedName>
    <definedName name="_xlnm.Print_Area" localSheetId="0">'NX Outdoor Sport'!$B$2:$C$51</definedName>
    <definedName name="_xlnm.Print_Titles" localSheetId="1">'NX Indoor Sport'!$B:$C,'NX Indoor Sport'!$2:$7</definedName>
    <definedName name="_xlnm.Print_Titles" localSheetId="0">'NX Outdoor Sport'!$B:$C,'NX Outdoor Sport'!$2:$8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5" i="39" l="1"/>
  <c r="R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R64" i="39"/>
  <c r="Q64" i="39"/>
  <c r="P64" i="39"/>
  <c r="O64" i="39"/>
  <c r="R63" i="39"/>
  <c r="Q63" i="39"/>
  <c r="P63" i="39"/>
  <c r="O63" i="39"/>
  <c r="N64" i="39"/>
  <c r="M64" i="39"/>
  <c r="L64" i="39"/>
  <c r="K64" i="39"/>
  <c r="J64" i="39"/>
  <c r="I64" i="39"/>
  <c r="H64" i="39"/>
  <c r="G64" i="39"/>
  <c r="F64" i="39"/>
  <c r="E64" i="39"/>
  <c r="N63" i="39"/>
  <c r="M63" i="39"/>
  <c r="L63" i="39"/>
  <c r="K63" i="39"/>
  <c r="J63" i="39"/>
  <c r="I63" i="39"/>
  <c r="H63" i="39"/>
  <c r="G63" i="39"/>
  <c r="F63" i="39"/>
  <c r="E63" i="39"/>
  <c r="D64" i="39"/>
  <c r="D63" i="39"/>
  <c r="N64" i="38"/>
  <c r="M64" i="38"/>
  <c r="L64" i="38"/>
  <c r="K64" i="38"/>
  <c r="J64" i="38"/>
  <c r="I64" i="38"/>
  <c r="H64" i="38"/>
  <c r="G64" i="38"/>
  <c r="F64" i="38"/>
  <c r="E64" i="38"/>
  <c r="D64" i="38"/>
  <c r="N63" i="38"/>
  <c r="M63" i="38"/>
  <c r="L63" i="38"/>
  <c r="E63" i="38"/>
  <c r="N62" i="38"/>
  <c r="M62" i="38"/>
  <c r="L62" i="38"/>
  <c r="K62" i="38"/>
  <c r="J62" i="38"/>
  <c r="I62" i="38"/>
  <c r="H62" i="38"/>
  <c r="N61" i="38"/>
  <c r="M61" i="38"/>
  <c r="L61" i="38"/>
  <c r="K61" i="38"/>
  <c r="K63" i="38" s="1"/>
  <c r="J61" i="38"/>
  <c r="J63" i="38" s="1"/>
  <c r="I61" i="38"/>
  <c r="I63" i="38" s="1"/>
  <c r="H61" i="38"/>
  <c r="H63" i="38" s="1"/>
  <c r="G61" i="38"/>
  <c r="G63" i="38" s="1"/>
  <c r="F61" i="38"/>
  <c r="F63" i="38" s="1"/>
  <c r="E61" i="38"/>
  <c r="N60" i="38"/>
  <c r="M60" i="38"/>
  <c r="L60" i="38"/>
  <c r="K60" i="38"/>
  <c r="J60" i="38"/>
  <c r="I60" i="38"/>
  <c r="H60" i="38"/>
  <c r="G60" i="38"/>
  <c r="G62" i="38" s="1"/>
  <c r="F60" i="38"/>
  <c r="F62" i="38" s="1"/>
  <c r="E60" i="38"/>
  <c r="E62" i="38" s="1"/>
  <c r="D61" i="38"/>
  <c r="D63" i="38" s="1"/>
  <c r="D60" i="38"/>
  <c r="D62" i="38" s="1"/>
  <c r="N62" i="39"/>
  <c r="N61" i="39"/>
  <c r="R62" i="39"/>
  <c r="Q62" i="39"/>
  <c r="P62" i="39"/>
  <c r="O62" i="39"/>
  <c r="R61" i="39"/>
  <c r="Q61" i="39"/>
  <c r="P61" i="39"/>
  <c r="O61" i="39"/>
  <c r="M62" i="39"/>
  <c r="M61" i="39"/>
  <c r="L62" i="39"/>
  <c r="L61" i="39"/>
  <c r="K62" i="39"/>
  <c r="K61" i="39"/>
  <c r="J62" i="39"/>
  <c r="J61" i="39"/>
  <c r="I62" i="39"/>
  <c r="I61" i="39"/>
  <c r="H62" i="39"/>
  <c r="H61" i="39"/>
  <c r="G62" i="39"/>
  <c r="G61" i="39"/>
  <c r="F62" i="39"/>
  <c r="F61" i="39"/>
  <c r="E62" i="39"/>
  <c r="E61" i="39"/>
  <c r="D62" i="39"/>
  <c r="D61" i="39"/>
  <c r="L59" i="39"/>
  <c r="L60" i="39" s="1"/>
  <c r="R58" i="39"/>
  <c r="R59" i="39" s="1"/>
  <c r="R60" i="39" s="1"/>
  <c r="Q58" i="39"/>
  <c r="Q59" i="39" s="1"/>
  <c r="Q60" i="39" s="1"/>
  <c r="P58" i="39"/>
  <c r="P59" i="39" s="1"/>
  <c r="P60" i="39" s="1"/>
  <c r="O58" i="39"/>
  <c r="O59" i="39" s="1"/>
  <c r="O60" i="39" s="1"/>
  <c r="N58" i="39"/>
  <c r="N59" i="39" s="1"/>
  <c r="N60" i="39" s="1"/>
  <c r="M58" i="39"/>
  <c r="M59" i="39" s="1"/>
  <c r="M60" i="39" s="1"/>
  <c r="L58" i="39"/>
  <c r="K58" i="39"/>
  <c r="K59" i="39" s="1"/>
  <c r="K60" i="39" s="1"/>
  <c r="J58" i="39"/>
  <c r="J59" i="39" s="1"/>
  <c r="J60" i="39" s="1"/>
  <c r="I58" i="39"/>
  <c r="I59" i="39" s="1"/>
  <c r="I60" i="39" s="1"/>
  <c r="H58" i="39"/>
  <c r="H59" i="39" s="1"/>
  <c r="H60" i="39" s="1"/>
  <c r="G58" i="39"/>
  <c r="G59" i="39" s="1"/>
  <c r="G60" i="39" s="1"/>
  <c r="F58" i="39"/>
  <c r="F59" i="39" s="1"/>
  <c r="F60" i="39" s="1"/>
  <c r="E58" i="39"/>
  <c r="E59" i="39" s="1"/>
  <c r="E60" i="39" s="1"/>
  <c r="D60" i="39"/>
  <c r="D58" i="39"/>
  <c r="D59" i="39"/>
  <c r="N41" i="38"/>
  <c r="M41" i="38"/>
  <c r="N23" i="38"/>
  <c r="N42" i="38" s="1"/>
  <c r="M23" i="38"/>
  <c r="M42" i="38" s="1"/>
  <c r="N22" i="38"/>
  <c r="M22" i="38"/>
  <c r="N21" i="38"/>
  <c r="M21" i="38"/>
  <c r="N20" i="38"/>
  <c r="M20" i="38"/>
  <c r="N17" i="38"/>
  <c r="M17" i="38"/>
  <c r="N16" i="38"/>
  <c r="M16" i="38"/>
  <c r="D42" i="38" l="1"/>
  <c r="D41" i="38"/>
  <c r="D25" i="38"/>
  <c r="D23" i="38"/>
  <c r="D54" i="38" s="1"/>
  <c r="D55" i="38" s="1"/>
  <c r="D57" i="38" s="1"/>
  <c r="D58" i="38" s="1"/>
  <c r="D59" i="38" s="1"/>
  <c r="D22" i="38"/>
  <c r="D21" i="38"/>
  <c r="D20" i="38"/>
  <c r="D17" i="38"/>
  <c r="D16" i="38"/>
  <c r="L42" i="38"/>
  <c r="K42" i="38"/>
  <c r="J42" i="38"/>
  <c r="I42" i="38"/>
  <c r="H42" i="38"/>
  <c r="G42" i="38"/>
  <c r="F42" i="38"/>
  <c r="E42" i="38"/>
  <c r="L41" i="38"/>
  <c r="K41" i="38"/>
  <c r="J41" i="38"/>
  <c r="I41" i="38"/>
  <c r="H41" i="38"/>
  <c r="G41" i="38"/>
  <c r="F41" i="38"/>
  <c r="E41" i="38"/>
  <c r="L25" i="38"/>
  <c r="K25" i="38"/>
  <c r="J25" i="38"/>
  <c r="I25" i="38"/>
  <c r="F25" i="38"/>
  <c r="E25" i="38"/>
  <c r="L23" i="38"/>
  <c r="L54" i="38" s="1"/>
  <c r="L55" i="38" s="1"/>
  <c r="L57" i="38" s="1"/>
  <c r="L58" i="38" s="1"/>
  <c r="L59" i="38" s="1"/>
  <c r="K23" i="38"/>
  <c r="K54" i="38" s="1"/>
  <c r="K55" i="38" s="1"/>
  <c r="K57" i="38" s="1"/>
  <c r="K58" i="38" s="1"/>
  <c r="K59" i="38" s="1"/>
  <c r="J23" i="38"/>
  <c r="J54" i="38" s="1"/>
  <c r="J55" i="38" s="1"/>
  <c r="J57" i="38" s="1"/>
  <c r="J58" i="38" s="1"/>
  <c r="J59" i="38" s="1"/>
  <c r="I23" i="38"/>
  <c r="H23" i="38"/>
  <c r="H54" i="38" s="1"/>
  <c r="H55" i="38" s="1"/>
  <c r="H57" i="38" s="1"/>
  <c r="H58" i="38" s="1"/>
  <c r="H59" i="38" s="1"/>
  <c r="G23" i="38"/>
  <c r="G54" i="38" s="1"/>
  <c r="G55" i="38" s="1"/>
  <c r="G57" i="38" s="1"/>
  <c r="G58" i="38" s="1"/>
  <c r="G59" i="38" s="1"/>
  <c r="F23" i="38"/>
  <c r="F54" i="38" s="1"/>
  <c r="F55" i="38" s="1"/>
  <c r="F57" i="38" s="1"/>
  <c r="F58" i="38" s="1"/>
  <c r="F59" i="38" s="1"/>
  <c r="E23" i="38"/>
  <c r="E54" i="38" s="1"/>
  <c r="E55" i="38" s="1"/>
  <c r="E57" i="38" s="1"/>
  <c r="E58" i="38" s="1"/>
  <c r="E59" i="38" s="1"/>
  <c r="F22" i="38"/>
  <c r="E22" i="38"/>
  <c r="J21" i="38"/>
  <c r="I21" i="38"/>
  <c r="H21" i="38"/>
  <c r="G21" i="38"/>
  <c r="F21" i="38"/>
  <c r="E21" i="38"/>
  <c r="F20" i="38"/>
  <c r="E20" i="38"/>
  <c r="H17" i="38"/>
  <c r="G17" i="38"/>
  <c r="F17" i="38"/>
  <c r="E17" i="38"/>
  <c r="L16" i="38"/>
  <c r="K16" i="38"/>
  <c r="J16" i="38"/>
  <c r="I16" i="38"/>
  <c r="H16" i="38"/>
  <c r="G16" i="38"/>
  <c r="F16" i="38"/>
  <c r="E16" i="38"/>
  <c r="I56" i="39"/>
  <c r="F56" i="39"/>
  <c r="N55" i="39"/>
  <c r="N56" i="39" s="1"/>
  <c r="M55" i="39"/>
  <c r="M56" i="39" s="1"/>
  <c r="L55" i="39"/>
  <c r="L56" i="39" s="1"/>
  <c r="K55" i="39"/>
  <c r="K56" i="39" s="1"/>
  <c r="J55" i="39"/>
  <c r="J56" i="39" s="1"/>
  <c r="I55" i="39"/>
  <c r="H55" i="39"/>
  <c r="H56" i="39" s="1"/>
  <c r="G55" i="39"/>
  <c r="G56" i="39" s="1"/>
  <c r="F55" i="39"/>
  <c r="E55" i="39" l="1"/>
  <c r="E56" i="39" s="1"/>
  <c r="D55" i="39"/>
  <c r="D56" i="39" s="1"/>
  <c r="D17" i="39"/>
  <c r="R42" i="39" l="1"/>
  <c r="Q42" i="39"/>
  <c r="R24" i="39"/>
  <c r="Q24" i="39"/>
  <c r="R23" i="39"/>
  <c r="Q23" i="39"/>
  <c r="R22" i="39"/>
  <c r="Q22" i="39"/>
  <c r="R17" i="39"/>
  <c r="Q17" i="39"/>
  <c r="D43" i="39"/>
  <c r="D42" i="39"/>
  <c r="D23" i="39"/>
  <c r="D22" i="39"/>
  <c r="Q43" i="39" l="1"/>
  <c r="Q55" i="39"/>
  <c r="Q56" i="39" s="1"/>
  <c r="R43" i="39"/>
  <c r="R55" i="39"/>
  <c r="R56" i="39" s="1"/>
  <c r="P42" i="39"/>
  <c r="O42" i="39"/>
  <c r="P24" i="39"/>
  <c r="O24" i="39"/>
  <c r="O55" i="39" s="1"/>
  <c r="O56" i="39" s="1"/>
  <c r="P23" i="39"/>
  <c r="O23" i="39"/>
  <c r="P22" i="39"/>
  <c r="O22" i="39"/>
  <c r="P17" i="39"/>
  <c r="O17" i="39"/>
  <c r="N43" i="39"/>
  <c r="M43" i="39"/>
  <c r="N42" i="39"/>
  <c r="M42" i="39"/>
  <c r="N23" i="39"/>
  <c r="M23" i="39"/>
  <c r="N22" i="39"/>
  <c r="M22" i="39"/>
  <c r="N17" i="39"/>
  <c r="M17" i="39"/>
  <c r="L43" i="39"/>
  <c r="K43" i="39"/>
  <c r="L42" i="39"/>
  <c r="K42" i="39"/>
  <c r="L22" i="39"/>
  <c r="K22" i="39"/>
  <c r="L17" i="39"/>
  <c r="K17" i="39"/>
  <c r="J43" i="39"/>
  <c r="I43" i="39"/>
  <c r="J42" i="39"/>
  <c r="I42" i="39"/>
  <c r="J22" i="39"/>
  <c r="I22" i="39"/>
  <c r="J17" i="39"/>
  <c r="I17" i="39"/>
  <c r="H43" i="39"/>
  <c r="G43" i="39"/>
  <c r="H42" i="39"/>
  <c r="G42" i="39"/>
  <c r="H22" i="39"/>
  <c r="G22" i="39"/>
  <c r="H17" i="39"/>
  <c r="G17" i="39"/>
  <c r="I54" i="38"/>
  <c r="I55" i="38" s="1"/>
  <c r="I57" i="38" s="1"/>
  <c r="I58" i="38" s="1"/>
  <c r="I59" i="38" s="1"/>
  <c r="E43" i="39"/>
  <c r="E42" i="39"/>
  <c r="F43" i="39"/>
  <c r="F42" i="39"/>
  <c r="F23" i="39"/>
  <c r="E23" i="39"/>
  <c r="F22" i="39"/>
  <c r="E22" i="39"/>
  <c r="F17" i="39"/>
  <c r="E17" i="39"/>
  <c r="P43" i="39" l="1"/>
  <c r="P55" i="39"/>
  <c r="P56" i="39" s="1"/>
  <c r="M54" i="38"/>
  <c r="M55" i="38" s="1"/>
  <c r="M57" i="38" s="1"/>
  <c r="M58" i="38" s="1"/>
  <c r="M59" i="38" s="1"/>
  <c r="N54" i="38"/>
  <c r="N55" i="38" s="1"/>
  <c r="N57" i="38" s="1"/>
  <c r="N58" i="38" s="1"/>
  <c r="N59" i="38" s="1"/>
  <c r="O43" i="39"/>
</calcChain>
</file>

<file path=xl/sharedStrings.xml><?xml version="1.0" encoding="utf-8"?>
<sst xmlns="http://schemas.openxmlformats.org/spreadsheetml/2006/main" count="855" uniqueCount="171">
  <si>
    <t xml:space="preserve">R4 </t>
  </si>
  <si>
    <t>R6</t>
  </si>
  <si>
    <t>A10</t>
  </si>
  <si>
    <t>HO10T</t>
  </si>
  <si>
    <t>Radiance</t>
  </si>
  <si>
    <t>Aura</t>
  </si>
  <si>
    <t>Halo - Fascia</t>
  </si>
  <si>
    <t>FIXED INSTALLATION</t>
  </si>
  <si>
    <t>STADIUM PERIMETER</t>
  </si>
  <si>
    <t>STADIUM FASCIA/ RIBBON</t>
  </si>
  <si>
    <t>2.5mm</t>
  </si>
  <si>
    <t>3.90625mm</t>
  </si>
  <si>
    <t>5.95mm</t>
  </si>
  <si>
    <t>10mm</t>
  </si>
  <si>
    <t>NationStar</t>
  </si>
  <si>
    <t>Physical
Parameters</t>
  </si>
  <si>
    <t>Pixel Configuration</t>
  </si>
  <si>
    <t>3 in 1 SMD White</t>
  </si>
  <si>
    <t>3 in 1 SMD Black</t>
  </si>
  <si>
    <t>LED PKG</t>
  </si>
  <si>
    <t>FM-Z1921</t>
  </si>
  <si>
    <t>RS-1921MBAR</t>
  </si>
  <si>
    <t>Driver IC</t>
  </si>
  <si>
    <t>ICN</t>
  </si>
  <si>
    <t>IM (W)</t>
  </si>
  <si>
    <t>IM (H)</t>
  </si>
  <si>
    <t>R (W)</t>
  </si>
  <si>
    <t>R (H)</t>
  </si>
  <si>
    <t>Pixel Pitch(mm)</t>
  </si>
  <si>
    <t>Module Resolution (WxH)</t>
  </si>
  <si>
    <t>Module Dimension</t>
  </si>
  <si>
    <t>500X250</t>
  </si>
  <si>
    <t>500X333.33</t>
  </si>
  <si>
    <t>400X300</t>
  </si>
  <si>
    <t>Weight per Module(kg)</t>
  </si>
  <si>
    <t>LED Manufacturer</t>
  </si>
  <si>
    <t>No. of Modules per Cabinet (WxH)</t>
  </si>
  <si>
    <t>2X4</t>
  </si>
  <si>
    <t>2X3</t>
  </si>
  <si>
    <t>4X3</t>
  </si>
  <si>
    <t>Cabinet Resolution (WxH)</t>
  </si>
  <si>
    <t>Cabinet Dimensions</t>
  </si>
  <si>
    <t>Cabinet Surface Area(㎡)</t>
  </si>
  <si>
    <t>Weight per Cabinet (kg)</t>
  </si>
  <si>
    <t>Physical Pixel qty./sqm.</t>
  </si>
  <si>
    <t>Flatness of cabinet</t>
  </si>
  <si>
    <t>+/- 1.0</t>
  </si>
  <si>
    <t>Case material</t>
  </si>
  <si>
    <t>AL</t>
  </si>
  <si>
    <t>Service access（IM）</t>
  </si>
  <si>
    <t>magnetic</t>
  </si>
  <si>
    <t>Latch with 8 attachment points</t>
  </si>
  <si>
    <t>Latch</t>
  </si>
  <si>
    <t>Service access</t>
  </si>
  <si>
    <t>Front and Rear</t>
  </si>
  <si>
    <t>Top</t>
  </si>
  <si>
    <t>Optical
SpecificatioNS</t>
  </si>
  <si>
    <t>Max. Brightness(After Calibration at 6500K)</t>
  </si>
  <si>
    <t>Color Temperature Range</t>
  </si>
  <si>
    <t>3200-9300</t>
  </si>
  <si>
    <t>Viewing Angle-Horizontal(50% brightness)</t>
  </si>
  <si>
    <t>140(-70/+70)</t>
  </si>
  <si>
    <t>Viewing Angle-Vertical(50% brightness)</t>
  </si>
  <si>
    <t>100(-55/+45)</t>
  </si>
  <si>
    <t>105(-50/+55)</t>
  </si>
  <si>
    <t>95(-60/+35)</t>
  </si>
  <si>
    <t>Visual Viewing Angle-Horizontal</t>
  </si>
  <si>
    <t>160(-80/+80)</t>
  </si>
  <si>
    <t>Visual Viewing Angle-Vertical</t>
  </si>
  <si>
    <t>115(-60/+55)</t>
  </si>
  <si>
    <t>120(-65/+55)</t>
  </si>
  <si>
    <t>130(-70/+60)</t>
  </si>
  <si>
    <t>110(-55/+55)</t>
  </si>
  <si>
    <t>105(-65/+40)</t>
  </si>
  <si>
    <t>Brightness Uniformity</t>
  </si>
  <si>
    <t>+/-1.5%</t>
  </si>
  <si>
    <t>Color Uniformity</t>
  </si>
  <si>
    <t>±0.05Cx,Cy</t>
  </si>
  <si>
    <t>Contrast Ratio</t>
  </si>
  <si>
    <t>≥ 3500</t>
  </si>
  <si>
    <t>≥ 8000</t>
  </si>
  <si>
    <t>≥ 4500</t>
  </si>
  <si>
    <t>≥ 6000</t>
  </si>
  <si>
    <t>≥ 7000</t>
  </si>
  <si>
    <t>Processing Depth</t>
  </si>
  <si>
    <t>Power Consumption (W/panel, Max.)</t>
  </si>
  <si>
    <t>Power Consumption (W/panel, Avg.)</t>
  </si>
  <si>
    <r>
      <rPr>
        <sz val="10"/>
        <rFont val="Arial"/>
        <family val="2"/>
      </rPr>
      <t>Power Consumption (W/</t>
    </r>
    <r>
      <rPr>
        <sz val="10"/>
        <rFont val="宋体"/>
        <charset val="134"/>
      </rPr>
      <t>㎡</t>
    </r>
    <r>
      <rPr>
        <sz val="10"/>
        <rFont val="Arial"/>
        <family val="2"/>
      </rPr>
      <t>, Max.)</t>
    </r>
  </si>
  <si>
    <t>Power Supply</t>
  </si>
  <si>
    <t>100 to 240</t>
  </si>
  <si>
    <t>Frame Rate(Hz)</t>
  </si>
  <si>
    <t>50 / 60</t>
  </si>
  <si>
    <t>Refresh Rate(Hz)</t>
  </si>
  <si>
    <t>≥5040</t>
  </si>
  <si>
    <t>≥7680</t>
  </si>
  <si>
    <t>Operation
SpecificatioNS</t>
  </si>
  <si>
    <t>Lifetime (Half brightness)</t>
  </si>
  <si>
    <t>Operating Temperature</t>
  </si>
  <si>
    <t>-20∘to +50∘</t>
  </si>
  <si>
    <t>Operating Humidity</t>
  </si>
  <si>
    <t>&lt; 90% (Without condensation)</t>
  </si>
  <si>
    <t>IP rating Front</t>
  </si>
  <si>
    <t>IP66</t>
  </si>
  <si>
    <t>IP rating Rear</t>
  </si>
  <si>
    <t>C2.5</t>
  </si>
  <si>
    <t>C4</t>
  </si>
  <si>
    <t>C10</t>
  </si>
  <si>
    <t>H10T</t>
  </si>
  <si>
    <t>4mm</t>
  </si>
  <si>
    <t>RS-2020MBAR</t>
  </si>
  <si>
    <t>240x240</t>
  </si>
  <si>
    <t>4x4</t>
  </si>
  <si>
    <t>96x96</t>
  </si>
  <si>
    <t>960x960x97</t>
  </si>
  <si>
    <r>
      <rPr>
        <sz val="10"/>
        <rFont val="Arial"/>
        <family val="2"/>
      </rPr>
      <t>Cabinet Surface Area(</t>
    </r>
    <r>
      <rPr>
        <sz val="10"/>
        <rFont val="Arial Unicode MS"/>
        <family val="2"/>
        <charset val="136"/>
      </rPr>
      <t>㎡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</si>
  <si>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Service access</t>
    </r>
    <r>
      <rPr>
        <sz val="10"/>
        <rFont val="Arial Unicode MS"/>
        <family val="2"/>
        <charset val="136"/>
      </rPr>
      <t>（</t>
    </r>
    <r>
      <rPr>
        <sz val="10"/>
        <rFont val="Arial"/>
        <family val="2"/>
      </rPr>
      <t>IM</t>
    </r>
    <r>
      <rPr>
        <sz val="10"/>
        <rFont val="Arial Unicode MS"/>
        <family val="2"/>
        <charset val="136"/>
      </rPr>
      <t>）</t>
    </r>
  </si>
  <si>
    <t>135(-70/+65)</t>
  </si>
  <si>
    <t>140(-75+65)</t>
  </si>
  <si>
    <t>+/- 1.5%</t>
  </si>
  <si>
    <t>≥ 3000</t>
  </si>
  <si>
    <r>
      <rPr>
        <sz val="10"/>
        <rFont val="Arial"/>
        <family val="2"/>
      </rPr>
      <t>Power Consumption (W/</t>
    </r>
    <r>
      <rPr>
        <sz val="10"/>
        <rFont val="Arial Unicode MS"/>
        <family val="2"/>
        <charset val="136"/>
      </rPr>
      <t>㎡</t>
    </r>
    <r>
      <rPr>
        <sz val="10"/>
        <rFont val="Arial"/>
        <family val="2"/>
      </rPr>
      <t>, Max.)</t>
    </r>
  </si>
  <si>
    <t>≥3840</t>
  </si>
  <si>
    <t>≥6000</t>
  </si>
  <si>
    <r>
      <rPr>
        <sz val="10"/>
        <rFont val="Arial"/>
        <family val="2"/>
      </rPr>
      <t>0</t>
    </r>
    <r>
      <rPr>
        <sz val="10"/>
        <rFont val="宋体"/>
        <charset val="134"/>
      </rPr>
      <t>∘</t>
    </r>
    <r>
      <rPr>
        <sz val="10"/>
        <rFont val="Arial"/>
        <family val="2"/>
      </rPr>
      <t>to +40</t>
    </r>
    <r>
      <rPr>
        <sz val="10"/>
        <rFont val="宋体"/>
        <charset val="134"/>
      </rPr>
      <t>∘</t>
    </r>
  </si>
  <si>
    <t>IP40</t>
  </si>
  <si>
    <t>IP20</t>
  </si>
  <si>
    <t>MSP/Panel (USD) in Exwork basis</t>
    <phoneticPr fontId="20" type="noConversion"/>
  </si>
  <si>
    <t>MSP/SQM (USD) in Exwork basis</t>
    <phoneticPr fontId="20" type="noConversion"/>
  </si>
  <si>
    <t>Optional items quote separately:</t>
    <phoneticPr fontId="20" type="noConversion"/>
  </si>
  <si>
    <t>- Emergency flipdown gate</t>
    <phoneticPr fontId="20" type="noConversion"/>
  </si>
  <si>
    <t>- Exit door</t>
    <phoneticPr fontId="20" type="noConversion"/>
  </si>
  <si>
    <t>- rolling cages</t>
    <phoneticPr fontId="20" type="noConversion"/>
  </si>
  <si>
    <t>MSP/Panel (USD) in Ex-work basis</t>
    <phoneticPr fontId="20" type="noConversion"/>
  </si>
  <si>
    <t>MSP/SQM (USD) in Ex-work basis</t>
    <phoneticPr fontId="20" type="noConversion"/>
  </si>
  <si>
    <t>C6</t>
  </si>
  <si>
    <t>6mm</t>
  </si>
  <si>
    <t>RS-2727MWAS</t>
  </si>
  <si>
    <t>FM-Z2727</t>
  </si>
  <si>
    <t>1000x1000x120</t>
  </si>
  <si>
    <t>1000x1000x120</t>
    <phoneticPr fontId="20" type="noConversion"/>
  </si>
  <si>
    <t>R8</t>
    <phoneticPr fontId="20" type="noConversion"/>
  </si>
  <si>
    <t>R10</t>
    <phoneticPr fontId="20" type="noConversion"/>
  </si>
  <si>
    <t>8.33mm</t>
    <phoneticPr fontId="20" type="noConversion"/>
  </si>
  <si>
    <t>&lt; 90% (Without condensation)</t>
    <phoneticPr fontId="20" type="noConversion"/>
  </si>
  <si>
    <t>240X270</t>
  </si>
  <si>
    <t>2X2</t>
  </si>
  <si>
    <t>3200-6500</t>
  </si>
  <si>
    <r>
      <rPr>
        <sz val="10"/>
        <rFont val="Arial"/>
        <family val="2"/>
      </rPr>
      <t>-20</t>
    </r>
    <r>
      <rPr>
        <sz val="10"/>
        <rFont val="宋体"/>
        <charset val="134"/>
      </rPr>
      <t>∘</t>
    </r>
    <r>
      <rPr>
        <sz val="10"/>
        <rFont val="Arial"/>
        <family val="2"/>
      </rPr>
      <t>to +50</t>
    </r>
    <r>
      <rPr>
        <sz val="10"/>
        <rFont val="宋体"/>
        <charset val="134"/>
      </rPr>
      <t>∘</t>
    </r>
  </si>
  <si>
    <t>HO6T</t>
  </si>
  <si>
    <t>Last price as of 2026/02/04</t>
  </si>
  <si>
    <t>R2.5-MIP</t>
  </si>
  <si>
    <t>MIP-A1010WN</t>
  </si>
  <si>
    <t>MIP 3 in 1</t>
  </si>
  <si>
    <t>Update on 2026/02/04</t>
  </si>
  <si>
    <t>FM-B2020</t>
  </si>
  <si>
    <t>MSP/SQFT (USD) in Ex-work basis</t>
  </si>
  <si>
    <t>MSP/SQFT (USD) in Exwork basis</t>
  </si>
  <si>
    <t>Corona</t>
  </si>
  <si>
    <t>C2.5-MIP (1G)</t>
  </si>
  <si>
    <t>Outdoor LED Screen Spec Sheet for LGE-US</t>
  </si>
  <si>
    <t>Indoor LED Screen Spec Sheet for LGE-US</t>
  </si>
  <si>
    <t>LGEUS Mark Up - 28% - MSP/SQFT (USD)</t>
  </si>
  <si>
    <t>Shipping - MSP/SQFT (USD)</t>
  </si>
  <si>
    <t>Tarriff - MSP/SQFT (USD)</t>
  </si>
  <si>
    <t>Cabinet Width - FT</t>
  </si>
  <si>
    <t>Cabinet Height - FT</t>
  </si>
  <si>
    <t>Standard Cabinet Width - FT</t>
  </si>
  <si>
    <t>Standard Cabinet Height - FT</t>
  </si>
  <si>
    <t>Curtomizable Width - FT</t>
  </si>
  <si>
    <t>Customizable Height - FT</t>
  </si>
  <si>
    <t>Custom Cost - MSP/SQFT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</si>
</sst>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US$&quot;#,##0_);[Red]\(&quot;US$&quot;#,##0\)"/>
    <numFmt numFmtId="165" formatCode="#,##0.0000_);[Red]\(#,##0.0000\)"/>
    <numFmt numFmtId="166" formatCode="#,##0.0_);[Red]\(#,##0.0\)"/>
    <numFmt numFmtId="167" formatCode="#,##0.000_ ;[Red]\-#,##0.000\ "/>
    <numFmt numFmtId="168" formatCode="_(* #,##0_);_(* \(#,##0\);_(* &quot;-&quot;??_);_(@_)"/>
    <numFmt numFmtId="169" formatCode="#,##0.0;[Red]\-#,##0.0"/>
    <numFmt numFmtId="170" formatCode="#,##0.000_);[Red]\(#,##0.000\)"/>
  </numFmts>
  <fonts count="23">
    <font>
      <sz val="11"/>
      <color theme="1"/>
      <name val="Calibri"/>
      <charset val="134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sz val="10"/>
      <name val="宋体"/>
      <charset val="134"/>
    </font>
    <font>
      <sz val="11"/>
      <color theme="1"/>
      <name val="Calibri"/>
      <family val="1"/>
      <charset val="136"/>
      <scheme val="minor"/>
    </font>
    <font>
      <sz val="11"/>
      <name val="Calibri"/>
      <family val="1"/>
      <charset val="136"/>
      <scheme val="minor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</font>
    <font>
      <sz val="10"/>
      <name val="Arial Unicode MS"/>
      <family val="2"/>
      <charset val="136"/>
    </font>
    <font>
      <sz val="11"/>
      <color theme="1"/>
      <name val="Calibri"/>
      <family val="1"/>
      <charset val="136"/>
      <scheme val="minor"/>
    </font>
    <font>
      <sz val="9"/>
      <name val="Calibri"/>
      <family val="3"/>
      <charset val="136"/>
      <scheme val="minor"/>
    </font>
    <font>
      <b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82909634693444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2">
    <xf numFmtId="0" fontId="0" fillId="0" borderId="0"/>
    <xf numFmtId="43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19" fillId="0" borderId="0">
      <alignment vertical="center"/>
    </xf>
    <xf numFmtId="9" fontId="8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8" fillId="0" borderId="0"/>
    <xf numFmtId="0" fontId="3" fillId="0" borderId="0"/>
    <xf numFmtId="0" fontId="3" fillId="0" borderId="0"/>
    <xf numFmtId="0" fontId="17" fillId="0" borderId="0"/>
  </cellStyleXfs>
  <cellXfs count="290">
    <xf numFmtId="0" fontId="0" fillId="0" borderId="0" xfId="0"/>
    <xf numFmtId="38" fontId="1" fillId="0" borderId="0" xfId="0" applyNumberFormat="1" applyFont="1" applyAlignment="1">
      <alignment vertical="center"/>
    </xf>
    <xf numFmtId="38" fontId="3" fillId="3" borderId="0" xfId="0" applyNumberFormat="1" applyFont="1" applyFill="1" applyAlignment="1">
      <alignment vertical="center"/>
    </xf>
    <xf numFmtId="38" fontId="4" fillId="0" borderId="0" xfId="0" applyNumberFormat="1" applyFont="1" applyAlignment="1">
      <alignment vertical="center"/>
    </xf>
    <xf numFmtId="38" fontId="3" fillId="0" borderId="0" xfId="0" applyNumberFormat="1" applyFont="1" applyAlignment="1">
      <alignment vertical="center"/>
    </xf>
    <xf numFmtId="38" fontId="3" fillId="0" borderId="0" xfId="0" applyNumberFormat="1" applyFont="1" applyAlignment="1">
      <alignment vertical="center" wrapText="1"/>
    </xf>
    <xf numFmtId="38" fontId="3" fillId="0" borderId="0" xfId="0" applyNumberFormat="1" applyFont="1" applyAlignment="1">
      <alignment horizontal="center" vertical="center"/>
    </xf>
    <xf numFmtId="38" fontId="3" fillId="0" borderId="5" xfId="0" applyNumberFormat="1" applyFont="1" applyBorder="1" applyAlignment="1">
      <alignment vertical="center"/>
    </xf>
    <xf numFmtId="38" fontId="6" fillId="0" borderId="0" xfId="0" applyNumberFormat="1" applyFont="1" applyAlignment="1">
      <alignment horizontal="left" vertical="center"/>
    </xf>
    <xf numFmtId="38" fontId="1" fillId="0" borderId="5" xfId="0" applyNumberFormat="1" applyFont="1" applyBorder="1" applyAlignment="1">
      <alignment vertical="center"/>
    </xf>
    <xf numFmtId="38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38" fontId="3" fillId="0" borderId="1" xfId="0" applyNumberFormat="1" applyFont="1" applyBorder="1" applyAlignment="1">
      <alignment horizontal="center" vertical="center"/>
    </xf>
    <xf numFmtId="38" fontId="3" fillId="3" borderId="5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38" fontId="3" fillId="0" borderId="1" xfId="19" applyNumberFormat="1" applyBorder="1" applyAlignment="1">
      <alignment horizontal="center" vertical="center"/>
    </xf>
    <xf numFmtId="38" fontId="3" fillId="0" borderId="14" xfId="0" applyNumberFormat="1" applyFont="1" applyBorder="1" applyAlignment="1">
      <alignment horizontal="center" vertical="center" wrapText="1"/>
    </xf>
    <xf numFmtId="38" fontId="3" fillId="0" borderId="4" xfId="0" applyNumberFormat="1" applyFont="1" applyBorder="1" applyAlignment="1">
      <alignment vertical="center"/>
    </xf>
    <xf numFmtId="38" fontId="3" fillId="0" borderId="15" xfId="0" applyNumberFormat="1" applyFont="1" applyBorder="1" applyAlignment="1">
      <alignment horizontal="center" vertical="center" wrapText="1"/>
    </xf>
    <xf numFmtId="38" fontId="3" fillId="0" borderId="16" xfId="0" applyNumberFormat="1" applyFont="1" applyBorder="1" applyAlignment="1">
      <alignment vertical="center"/>
    </xf>
    <xf numFmtId="38" fontId="3" fillId="0" borderId="10" xfId="19" applyNumberFormat="1" applyBorder="1" applyAlignment="1">
      <alignment horizontal="center" vertical="center"/>
    </xf>
    <xf numFmtId="38" fontId="3" fillId="0" borderId="12" xfId="0" applyNumberFormat="1" applyFont="1" applyBorder="1" applyAlignment="1">
      <alignment vertical="center"/>
    </xf>
    <xf numFmtId="38" fontId="3" fillId="0" borderId="13" xfId="0" applyNumberFormat="1" applyFont="1" applyBorder="1" applyAlignment="1">
      <alignment horizontal="center" vertical="center"/>
    </xf>
    <xf numFmtId="38" fontId="3" fillId="0" borderId="4" xfId="0" applyNumberFormat="1" applyFont="1" applyBorder="1" applyAlignment="1">
      <alignment horizontal="left" vertical="center"/>
    </xf>
    <xf numFmtId="38" fontId="3" fillId="0" borderId="5" xfId="0" applyNumberFormat="1" applyFont="1" applyBorder="1" applyAlignment="1">
      <alignment vertical="center" wrapText="1"/>
    </xf>
    <xf numFmtId="38" fontId="3" fillId="0" borderId="4" xfId="0" applyNumberFormat="1" applyFont="1" applyBorder="1" applyAlignment="1">
      <alignment vertical="center" wrapText="1"/>
    </xf>
    <xf numFmtId="38" fontId="3" fillId="0" borderId="1" xfId="0" applyNumberFormat="1" applyFont="1" applyBorder="1" applyAlignment="1">
      <alignment horizontal="center" vertical="center" wrapText="1"/>
    </xf>
    <xf numFmtId="38" fontId="3" fillId="0" borderId="17" xfId="0" applyNumberFormat="1" applyFont="1" applyBorder="1" applyAlignment="1">
      <alignment horizontal="center" vertical="center" wrapText="1"/>
    </xf>
    <xf numFmtId="38" fontId="3" fillId="0" borderId="18" xfId="0" applyNumberFormat="1" applyFont="1" applyBorder="1" applyAlignment="1">
      <alignment vertical="center"/>
    </xf>
    <xf numFmtId="38" fontId="3" fillId="0" borderId="5" xfId="0" applyNumberFormat="1" applyFont="1" applyBorder="1" applyAlignment="1">
      <alignment horizontal="center" vertical="center"/>
    </xf>
    <xf numFmtId="38" fontId="10" fillId="0" borderId="0" xfId="0" applyNumberFormat="1" applyFont="1" applyAlignment="1">
      <alignment vertical="center"/>
    </xf>
    <xf numFmtId="38" fontId="11" fillId="0" borderId="0" xfId="0" applyNumberFormat="1" applyFont="1" applyAlignment="1">
      <alignment horizontal="center" vertical="center"/>
    </xf>
    <xf numFmtId="38" fontId="12" fillId="3" borderId="0" xfId="0" applyNumberFormat="1" applyFont="1" applyFill="1" applyAlignment="1">
      <alignment vertical="center"/>
    </xf>
    <xf numFmtId="165" fontId="12" fillId="0" borderId="0" xfId="0" applyNumberFormat="1" applyFont="1" applyAlignment="1">
      <alignment vertical="center"/>
    </xf>
    <xf numFmtId="40" fontId="12" fillId="0" borderId="0" xfId="0" applyNumberFormat="1" applyFont="1" applyAlignment="1">
      <alignment vertical="center"/>
    </xf>
    <xf numFmtId="165" fontId="12" fillId="3" borderId="0" xfId="0" applyNumberFormat="1" applyFont="1" applyFill="1" applyAlignment="1">
      <alignment vertical="center"/>
    </xf>
    <xf numFmtId="166" fontId="12" fillId="0" borderId="0" xfId="0" applyNumberFormat="1" applyFont="1" applyAlignment="1">
      <alignment vertical="center"/>
    </xf>
    <xf numFmtId="38" fontId="12" fillId="0" borderId="0" xfId="0" applyNumberFormat="1" applyFont="1" applyAlignment="1">
      <alignment vertical="center"/>
    </xf>
    <xf numFmtId="38" fontId="11" fillId="3" borderId="0" xfId="0" applyNumberFormat="1" applyFont="1" applyFill="1" applyAlignment="1">
      <alignment vertical="center"/>
    </xf>
    <xf numFmtId="38" fontId="12" fillId="0" borderId="0" xfId="0" applyNumberFormat="1" applyFont="1" applyAlignment="1">
      <alignment vertical="center" wrapText="1"/>
    </xf>
    <xf numFmtId="38" fontId="12" fillId="0" borderId="5" xfId="0" applyNumberFormat="1" applyFont="1" applyBorder="1" applyAlignment="1">
      <alignment vertical="center"/>
    </xf>
    <xf numFmtId="38" fontId="11" fillId="0" borderId="0" xfId="0" applyNumberFormat="1" applyFont="1" applyAlignment="1">
      <alignment vertical="center"/>
    </xf>
    <xf numFmtId="38" fontId="13" fillId="0" borderId="0" xfId="0" applyNumberFormat="1" applyFont="1" applyAlignment="1">
      <alignment horizontal="left" vertical="center"/>
    </xf>
    <xf numFmtId="38" fontId="12" fillId="0" borderId="0" xfId="0" applyNumberFormat="1" applyFont="1" applyAlignment="1">
      <alignment horizontal="center" vertical="center"/>
    </xf>
    <xf numFmtId="38" fontId="10" fillId="0" borderId="5" xfId="0" applyNumberFormat="1" applyFont="1" applyBorder="1" applyAlignment="1">
      <alignment vertical="center"/>
    </xf>
    <xf numFmtId="38" fontId="14" fillId="0" borderId="0" xfId="0" applyNumberFormat="1" applyFont="1" applyAlignment="1">
      <alignment horizontal="left" vertical="center"/>
    </xf>
    <xf numFmtId="38" fontId="14" fillId="0" borderId="0" xfId="0" applyNumberFormat="1" applyFont="1" applyAlignment="1">
      <alignment horizontal="center" vertical="center"/>
    </xf>
    <xf numFmtId="38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38" fontId="11" fillId="0" borderId="5" xfId="0" applyNumberFormat="1" applyFont="1" applyBorder="1" applyAlignment="1">
      <alignment horizontal="center" vertical="center"/>
    </xf>
    <xf numFmtId="38" fontId="12" fillId="3" borderId="5" xfId="0" applyNumberFormat="1" applyFont="1" applyFill="1" applyBorder="1" applyAlignment="1">
      <alignment vertical="center"/>
    </xf>
    <xf numFmtId="165" fontId="12" fillId="0" borderId="5" xfId="0" applyNumberFormat="1" applyFont="1" applyBorder="1" applyAlignment="1">
      <alignment vertical="center"/>
    </xf>
    <xf numFmtId="40" fontId="12" fillId="0" borderId="5" xfId="0" applyNumberFormat="1" applyFont="1" applyBorder="1" applyAlignment="1">
      <alignment vertical="center"/>
    </xf>
    <xf numFmtId="165" fontId="12" fillId="3" borderId="5" xfId="0" applyNumberFormat="1" applyFont="1" applyFill="1" applyBorder="1" applyAlignment="1">
      <alignment vertical="center"/>
    </xf>
    <xf numFmtId="166" fontId="12" fillId="0" borderId="5" xfId="0" applyNumberFormat="1" applyFont="1" applyBorder="1" applyAlignment="1">
      <alignment vertical="center"/>
    </xf>
    <xf numFmtId="38" fontId="11" fillId="3" borderId="5" xfId="0" applyNumberFormat="1" applyFont="1" applyFill="1" applyBorder="1" applyAlignment="1">
      <alignment vertical="center"/>
    </xf>
    <xf numFmtId="38" fontId="3" fillId="0" borderId="27" xfId="0" applyNumberFormat="1" applyFont="1" applyBorder="1" applyAlignment="1">
      <alignment horizontal="center" vertical="center"/>
    </xf>
    <xf numFmtId="38" fontId="12" fillId="0" borderId="5" xfId="0" applyNumberFormat="1" applyFont="1" applyBorder="1" applyAlignment="1">
      <alignment vertical="center" wrapText="1"/>
    </xf>
    <xf numFmtId="38" fontId="3" fillId="0" borderId="27" xfId="20" applyNumberFormat="1" applyBorder="1" applyAlignment="1">
      <alignment horizontal="center" vertical="center"/>
    </xf>
    <xf numFmtId="38" fontId="12" fillId="0" borderId="0" xfId="19" applyNumberFormat="1" applyFont="1" applyAlignment="1">
      <alignment horizontal="center" vertical="center"/>
    </xf>
    <xf numFmtId="38" fontId="12" fillId="0" borderId="0" xfId="20" applyNumberFormat="1" applyFont="1" applyAlignment="1">
      <alignment horizontal="center" vertical="center"/>
    </xf>
    <xf numFmtId="38" fontId="12" fillId="0" borderId="23" xfId="20" applyNumberFormat="1" applyFont="1" applyBorder="1" applyAlignment="1">
      <alignment horizontal="center" vertical="center"/>
    </xf>
    <xf numFmtId="40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38" fontId="0" fillId="0" borderId="0" xfId="0" applyNumberFormat="1" applyAlignment="1">
      <alignment vertical="center"/>
    </xf>
    <xf numFmtId="38" fontId="9" fillId="0" borderId="0" xfId="0" applyNumberFormat="1" applyFont="1" applyAlignment="1">
      <alignment vertical="center"/>
    </xf>
    <xf numFmtId="38" fontId="3" fillId="0" borderId="28" xfId="0" applyNumberFormat="1" applyFont="1" applyBorder="1" applyAlignment="1">
      <alignment horizontal="center" vertical="center" wrapText="1"/>
    </xf>
    <xf numFmtId="38" fontId="3" fillId="0" borderId="47" xfId="0" applyNumberFormat="1" applyFont="1" applyBorder="1" applyAlignment="1">
      <alignment vertical="center"/>
    </xf>
    <xf numFmtId="38" fontId="3" fillId="0" borderId="28" xfId="19" applyNumberFormat="1" applyBorder="1" applyAlignment="1">
      <alignment horizontal="center" vertical="center" wrapText="1"/>
    </xf>
    <xf numFmtId="38" fontId="3" fillId="0" borderId="48" xfId="19" applyNumberFormat="1" applyBorder="1" applyAlignment="1">
      <alignment horizontal="center" vertical="center" wrapText="1"/>
    </xf>
    <xf numFmtId="38" fontId="3" fillId="0" borderId="30" xfId="0" applyNumberFormat="1" applyFont="1" applyBorder="1" applyAlignment="1">
      <alignment horizontal="center" vertical="center" wrapText="1"/>
    </xf>
    <xf numFmtId="38" fontId="3" fillId="0" borderId="22" xfId="0" applyNumberFormat="1" applyFont="1" applyBorder="1" applyAlignment="1">
      <alignment vertical="center"/>
    </xf>
    <xf numFmtId="38" fontId="3" fillId="0" borderId="30" xfId="20" applyNumberFormat="1" applyBorder="1" applyAlignment="1">
      <alignment horizontal="center" vertical="center" wrapText="1"/>
    </xf>
    <xf numFmtId="38" fontId="3" fillId="0" borderId="3" xfId="20" applyNumberFormat="1" applyBorder="1" applyAlignment="1">
      <alignment horizontal="center" vertical="center" wrapText="1"/>
    </xf>
    <xf numFmtId="38" fontId="3" fillId="0" borderId="31" xfId="20" applyNumberFormat="1" applyBorder="1" applyAlignment="1">
      <alignment horizontal="center" vertical="center" wrapText="1"/>
    </xf>
    <xf numFmtId="38" fontId="3" fillId="0" borderId="22" xfId="0" applyNumberFormat="1" applyFont="1" applyBorder="1" applyAlignment="1">
      <alignment horizontal="left" vertical="center"/>
    </xf>
    <xf numFmtId="38" fontId="3" fillId="0" borderId="30" xfId="19" applyNumberFormat="1" applyBorder="1" applyAlignment="1">
      <alignment horizontal="center" vertical="center" wrapText="1"/>
    </xf>
    <xf numFmtId="38" fontId="3" fillId="0" borderId="3" xfId="19" applyNumberFormat="1" applyBorder="1" applyAlignment="1">
      <alignment horizontal="center" vertical="center" wrapText="1"/>
    </xf>
    <xf numFmtId="40" fontId="3" fillId="0" borderId="5" xfId="0" applyNumberFormat="1" applyFont="1" applyBorder="1" applyAlignment="1">
      <alignment vertical="center"/>
    </xf>
    <xf numFmtId="40" fontId="3" fillId="0" borderId="4" xfId="0" applyNumberFormat="1" applyFont="1" applyBorder="1" applyAlignment="1">
      <alignment horizontal="left" vertical="center"/>
    </xf>
    <xf numFmtId="40" fontId="3" fillId="0" borderId="14" xfId="19" applyNumberFormat="1" applyBorder="1" applyAlignment="1">
      <alignment horizontal="center" vertical="center"/>
    </xf>
    <xf numFmtId="40" fontId="3" fillId="0" borderId="1" xfId="19" applyNumberFormat="1" applyBorder="1" applyAlignment="1">
      <alignment horizontal="center" vertical="center"/>
    </xf>
    <xf numFmtId="38" fontId="3" fillId="0" borderId="14" xfId="19" applyNumberFormat="1" applyBorder="1" applyAlignment="1">
      <alignment horizontal="center" vertical="center"/>
    </xf>
    <xf numFmtId="38" fontId="3" fillId="0" borderId="14" xfId="0" applyNumberFormat="1" applyFont="1" applyBorder="1" applyAlignment="1">
      <alignment horizontal="center" vertical="center"/>
    </xf>
    <xf numFmtId="40" fontId="3" fillId="0" borderId="14" xfId="0" applyNumberFormat="1" applyFont="1" applyBorder="1" applyAlignment="1">
      <alignment horizontal="center" vertical="center"/>
    </xf>
    <xf numFmtId="40" fontId="3" fillId="0" borderId="1" xfId="0" applyNumberFormat="1" applyFont="1" applyBorder="1" applyAlignment="1">
      <alignment horizontal="center" vertical="center"/>
    </xf>
    <xf numFmtId="38" fontId="3" fillId="0" borderId="14" xfId="19" applyNumberFormat="1" applyBorder="1" applyAlignment="1">
      <alignment horizontal="center" vertical="center" wrapText="1"/>
    </xf>
    <xf numFmtId="38" fontId="3" fillId="0" borderId="1" xfId="19" applyNumberFormat="1" applyBorder="1" applyAlignment="1">
      <alignment horizontal="center" vertical="center" wrapText="1"/>
    </xf>
    <xf numFmtId="169" fontId="3" fillId="0" borderId="5" xfId="0" applyNumberFormat="1" applyFont="1" applyBorder="1" applyAlignment="1">
      <alignment vertical="center"/>
    </xf>
    <xf numFmtId="169" fontId="3" fillId="0" borderId="14" xfId="19" applyNumberFormat="1" applyBorder="1" applyAlignment="1">
      <alignment horizontal="center" vertical="center"/>
    </xf>
    <xf numFmtId="169" fontId="3" fillId="0" borderId="1" xfId="19" applyNumberForma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38" fontId="3" fillId="0" borderId="15" xfId="19" applyNumberFormat="1" applyBorder="1" applyAlignment="1">
      <alignment horizontal="center" vertical="center"/>
    </xf>
    <xf numFmtId="38" fontId="3" fillId="0" borderId="11" xfId="19" applyNumberFormat="1" applyBorder="1" applyAlignment="1">
      <alignment horizontal="center" vertical="center"/>
    </xf>
    <xf numFmtId="38" fontId="3" fillId="0" borderId="13" xfId="19" applyNumberFormat="1" applyBorder="1" applyAlignment="1">
      <alignment horizontal="center" vertical="center"/>
    </xf>
    <xf numFmtId="38" fontId="3" fillId="0" borderId="49" xfId="19" applyNumberFormat="1" applyBorder="1" applyAlignment="1">
      <alignment horizontal="center" vertical="center"/>
    </xf>
    <xf numFmtId="38" fontId="16" fillId="0" borderId="1" xfId="0" applyNumberFormat="1" applyFont="1" applyBorder="1" applyAlignment="1">
      <alignment horizontal="center" vertical="center"/>
    </xf>
    <xf numFmtId="38" fontId="16" fillId="0" borderId="1" xfId="19" applyNumberFormat="1" applyFont="1" applyBorder="1" applyAlignment="1">
      <alignment horizontal="center" vertical="center"/>
    </xf>
    <xf numFmtId="38" fontId="3" fillId="3" borderId="4" xfId="0" applyNumberFormat="1" applyFont="1" applyFill="1" applyBorder="1" applyAlignment="1">
      <alignment vertical="center"/>
    </xf>
    <xf numFmtId="38" fontId="0" fillId="0" borderId="5" xfId="0" applyNumberFormat="1" applyBorder="1" applyAlignment="1">
      <alignment vertical="center"/>
    </xf>
    <xf numFmtId="38" fontId="0" fillId="0" borderId="4" xfId="0" applyNumberFormat="1" applyBorder="1" applyAlignment="1">
      <alignment vertical="center"/>
    </xf>
    <xf numFmtId="38" fontId="0" fillId="0" borderId="14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38" fontId="9" fillId="0" borderId="1" xfId="0" applyNumberFormat="1" applyFont="1" applyBorder="1" applyAlignment="1">
      <alignment horizontal="center" vertical="center"/>
    </xf>
    <xf numFmtId="38" fontId="9" fillId="0" borderId="5" xfId="0" applyNumberFormat="1" applyFont="1" applyBorder="1" applyAlignment="1">
      <alignment vertical="center"/>
    </xf>
    <xf numFmtId="38" fontId="9" fillId="0" borderId="4" xfId="0" applyNumberFormat="1" applyFont="1" applyBorder="1" applyAlignment="1">
      <alignment vertical="center"/>
    </xf>
    <xf numFmtId="38" fontId="9" fillId="0" borderId="14" xfId="0" applyNumberFormat="1" applyFont="1" applyBorder="1" applyAlignment="1">
      <alignment horizontal="center" vertical="center"/>
    </xf>
    <xf numFmtId="38" fontId="3" fillId="0" borderId="11" xfId="0" applyNumberFormat="1" applyFont="1" applyBorder="1" applyAlignment="1">
      <alignment horizontal="center" vertical="center"/>
    </xf>
    <xf numFmtId="38" fontId="3" fillId="3" borderId="20" xfId="0" applyNumberFormat="1" applyFont="1" applyFill="1" applyBorder="1" applyAlignment="1">
      <alignment vertical="center"/>
    </xf>
    <xf numFmtId="38" fontId="3" fillId="0" borderId="19" xfId="19" applyNumberFormat="1" applyBorder="1" applyAlignment="1">
      <alignment horizontal="center" vertical="center"/>
    </xf>
    <xf numFmtId="38" fontId="3" fillId="0" borderId="21" xfId="19" applyNumberFormat="1" applyBorder="1" applyAlignment="1">
      <alignment horizontal="center" vertical="center"/>
    </xf>
    <xf numFmtId="38" fontId="3" fillId="0" borderId="14" xfId="0" quotePrefix="1" applyNumberFormat="1" applyFont="1" applyBorder="1" applyAlignment="1">
      <alignment horizontal="center" vertical="center"/>
    </xf>
    <xf numFmtId="38" fontId="3" fillId="0" borderId="1" xfId="0" quotePrefix="1" applyNumberFormat="1" applyFont="1" applyBorder="1" applyAlignment="1">
      <alignment horizontal="center" vertical="center"/>
    </xf>
    <xf numFmtId="38" fontId="3" fillId="0" borderId="27" xfId="0" quotePrefix="1" applyNumberFormat="1" applyFont="1" applyBorder="1" applyAlignment="1">
      <alignment horizontal="center" vertical="center"/>
    </xf>
    <xf numFmtId="38" fontId="4" fillId="5" borderId="24" xfId="0" applyNumberFormat="1" applyFont="1" applyFill="1" applyBorder="1" applyAlignment="1">
      <alignment horizontal="center" vertical="center"/>
    </xf>
    <xf numFmtId="38" fontId="4" fillId="5" borderId="19" xfId="19" applyNumberFormat="1" applyFont="1" applyFill="1" applyBorder="1" applyAlignment="1">
      <alignment horizontal="center" vertical="center"/>
    </xf>
    <xf numFmtId="38" fontId="4" fillId="5" borderId="21" xfId="19" applyNumberFormat="1" applyFont="1" applyFill="1" applyBorder="1" applyAlignment="1">
      <alignment horizontal="center" vertical="center"/>
    </xf>
    <xf numFmtId="38" fontId="3" fillId="0" borderId="7" xfId="0" applyNumberFormat="1" applyFont="1" applyBorder="1" applyAlignment="1">
      <alignment vertical="center"/>
    </xf>
    <xf numFmtId="38" fontId="3" fillId="0" borderId="8" xfId="0" applyNumberFormat="1" applyFont="1" applyBorder="1" applyAlignment="1">
      <alignment vertical="center"/>
    </xf>
    <xf numFmtId="38" fontId="3" fillId="0" borderId="50" xfId="0" quotePrefix="1" applyNumberFormat="1" applyFont="1" applyBorder="1" applyAlignment="1">
      <alignment vertical="center"/>
    </xf>
    <xf numFmtId="38" fontId="3" fillId="0" borderId="51" xfId="0" quotePrefix="1" applyNumberFormat="1" applyFont="1" applyBorder="1" applyAlignment="1">
      <alignment vertical="center"/>
    </xf>
    <xf numFmtId="38" fontId="3" fillId="0" borderId="23" xfId="0" applyNumberFormat="1" applyFont="1" applyBorder="1" applyAlignment="1">
      <alignment vertical="center"/>
    </xf>
    <xf numFmtId="38" fontId="16" fillId="0" borderId="5" xfId="0" applyNumberFormat="1" applyFont="1" applyBorder="1" applyAlignment="1">
      <alignment vertical="center"/>
    </xf>
    <xf numFmtId="38" fontId="16" fillId="0" borderId="0" xfId="0" applyNumberFormat="1" applyFont="1" applyAlignment="1">
      <alignment vertical="center"/>
    </xf>
    <xf numFmtId="38" fontId="12" fillId="0" borderId="47" xfId="0" applyNumberFormat="1" applyFont="1" applyBorder="1" applyAlignment="1">
      <alignment vertical="center"/>
    </xf>
    <xf numFmtId="38" fontId="12" fillId="3" borderId="22" xfId="0" applyNumberFormat="1" applyFont="1" applyFill="1" applyBorder="1" applyAlignment="1">
      <alignment vertical="center"/>
    </xf>
    <xf numFmtId="38" fontId="12" fillId="0" borderId="22" xfId="0" applyNumberFormat="1" applyFont="1" applyBorder="1" applyAlignment="1">
      <alignment vertical="center"/>
    </xf>
    <xf numFmtId="38" fontId="12" fillId="0" borderId="22" xfId="0" applyNumberFormat="1" applyFont="1" applyBorder="1" applyAlignment="1">
      <alignment horizontal="left" vertical="center"/>
    </xf>
    <xf numFmtId="165" fontId="12" fillId="0" borderId="4" xfId="0" applyNumberFormat="1" applyFont="1" applyBorder="1" applyAlignment="1">
      <alignment horizontal="left" vertical="center"/>
    </xf>
    <xf numFmtId="38" fontId="12" fillId="3" borderId="4" xfId="0" applyNumberFormat="1" applyFont="1" applyFill="1" applyBorder="1" applyAlignment="1">
      <alignment horizontal="left" vertical="center"/>
    </xf>
    <xf numFmtId="38" fontId="12" fillId="3" borderId="4" xfId="0" applyNumberFormat="1" applyFont="1" applyFill="1" applyBorder="1" applyAlignment="1">
      <alignment vertical="center"/>
    </xf>
    <xf numFmtId="40" fontId="12" fillId="0" borderId="4" xfId="0" applyNumberFormat="1" applyFont="1" applyBorder="1" applyAlignment="1">
      <alignment vertical="center"/>
    </xf>
    <xf numFmtId="38" fontId="12" fillId="3" borderId="4" xfId="0" applyNumberFormat="1" applyFont="1" applyFill="1" applyBorder="1" applyAlignment="1">
      <alignment vertical="center" wrapText="1"/>
    </xf>
    <xf numFmtId="165" fontId="12" fillId="3" borderId="4" xfId="0" applyNumberFormat="1" applyFont="1" applyFill="1" applyBorder="1" applyAlignment="1">
      <alignment vertical="center"/>
    </xf>
    <xf numFmtId="166" fontId="12" fillId="0" borderId="4" xfId="0" applyNumberFormat="1" applyFont="1" applyBorder="1" applyAlignment="1">
      <alignment vertical="center"/>
    </xf>
    <xf numFmtId="38" fontId="12" fillId="0" borderId="4" xfId="0" applyNumberFormat="1" applyFont="1" applyBorder="1" applyAlignment="1">
      <alignment vertical="center"/>
    </xf>
    <xf numFmtId="38" fontId="12" fillId="0" borderId="18" xfId="0" applyNumberFormat="1" applyFont="1" applyBorder="1" applyAlignment="1">
      <alignment vertical="center"/>
    </xf>
    <xf numFmtId="38" fontId="12" fillId="0" borderId="16" xfId="0" applyNumberFormat="1" applyFont="1" applyBorder="1" applyAlignment="1">
      <alignment vertical="center"/>
    </xf>
    <xf numFmtId="38" fontId="12" fillId="0" borderId="12" xfId="0" applyNumberFormat="1" applyFont="1" applyBorder="1" applyAlignment="1">
      <alignment vertical="center"/>
    </xf>
    <xf numFmtId="38" fontId="12" fillId="3" borderId="16" xfId="0" applyNumberFormat="1" applyFont="1" applyFill="1" applyBorder="1" applyAlignment="1">
      <alignment vertical="center"/>
    </xf>
    <xf numFmtId="38" fontId="12" fillId="0" borderId="4" xfId="0" applyNumberFormat="1" applyFont="1" applyBorder="1" applyAlignment="1">
      <alignment horizontal="left" vertical="center"/>
    </xf>
    <xf numFmtId="38" fontId="12" fillId="3" borderId="12" xfId="0" applyNumberFormat="1" applyFont="1" applyFill="1" applyBorder="1" applyAlignment="1">
      <alignment vertical="center"/>
    </xf>
    <xf numFmtId="38" fontId="12" fillId="0" borderId="4" xfId="0" applyNumberFormat="1" applyFont="1" applyBorder="1" applyAlignment="1">
      <alignment vertical="center" wrapText="1"/>
    </xf>
    <xf numFmtId="38" fontId="12" fillId="0" borderId="52" xfId="0" applyNumberFormat="1" applyFont="1" applyBorder="1" applyAlignment="1">
      <alignment vertical="center"/>
    </xf>
    <xf numFmtId="38" fontId="11" fillId="5" borderId="28" xfId="19" applyNumberFormat="1" applyFont="1" applyFill="1" applyBorder="1" applyAlignment="1">
      <alignment horizontal="center" vertical="center"/>
    </xf>
    <xf numFmtId="38" fontId="11" fillId="5" borderId="29" xfId="19" applyNumberFormat="1" applyFont="1" applyFill="1" applyBorder="1" applyAlignment="1">
      <alignment horizontal="center" vertical="center"/>
    </xf>
    <xf numFmtId="38" fontId="3" fillId="3" borderId="27" xfId="0" applyNumberFormat="1" applyFont="1" applyFill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38" fontId="3" fillId="0" borderId="27" xfId="19" applyNumberFormat="1" applyBorder="1" applyAlignment="1">
      <alignment horizontal="center" vertical="center"/>
    </xf>
    <xf numFmtId="38" fontId="3" fillId="0" borderId="15" xfId="20" applyNumberFormat="1" applyBorder="1" applyAlignment="1">
      <alignment horizontal="center" vertical="center"/>
    </xf>
    <xf numFmtId="38" fontId="3" fillId="0" borderId="32" xfId="20" applyNumberFormat="1" applyBorder="1" applyAlignment="1">
      <alignment horizontal="center" vertical="center"/>
    </xf>
    <xf numFmtId="38" fontId="3" fillId="0" borderId="32" xfId="19" applyNumberFormat="1" applyBorder="1" applyAlignment="1">
      <alignment horizontal="center" vertical="center"/>
    </xf>
    <xf numFmtId="38" fontId="3" fillId="0" borderId="33" xfId="0" applyNumberFormat="1" applyFont="1" applyBorder="1" applyAlignment="1">
      <alignment horizontal="center" vertical="center"/>
    </xf>
    <xf numFmtId="38" fontId="3" fillId="3" borderId="11" xfId="0" applyNumberFormat="1" applyFont="1" applyFill="1" applyBorder="1" applyAlignment="1">
      <alignment horizontal="center" vertical="center"/>
    </xf>
    <xf numFmtId="38" fontId="3" fillId="0" borderId="27" xfId="0" applyNumberFormat="1" applyFont="1" applyBorder="1" applyAlignment="1">
      <alignment horizontal="center" vertical="center" wrapText="1"/>
    </xf>
    <xf numFmtId="168" fontId="21" fillId="0" borderId="0" xfId="1" applyNumberFormat="1" applyFont="1" applyAlignment="1">
      <alignment horizontal="left" vertical="center"/>
    </xf>
    <xf numFmtId="38" fontId="4" fillId="7" borderId="28" xfId="19" applyNumberFormat="1" applyFont="1" applyFill="1" applyBorder="1" applyAlignment="1">
      <alignment horizontal="center" vertical="center"/>
    </xf>
    <xf numFmtId="38" fontId="4" fillId="7" borderId="29" xfId="19" applyNumberFormat="1" applyFont="1" applyFill="1" applyBorder="1" applyAlignment="1">
      <alignment horizontal="center" vertical="center"/>
    </xf>
    <xf numFmtId="38" fontId="3" fillId="3" borderId="28" xfId="19" applyNumberFormat="1" applyFill="1" applyBorder="1" applyAlignment="1">
      <alignment horizontal="center" vertical="center" wrapText="1"/>
    </xf>
    <xf numFmtId="38" fontId="3" fillId="3" borderId="29" xfId="19" applyNumberFormat="1" applyFill="1" applyBorder="1" applyAlignment="1">
      <alignment horizontal="center" vertical="center" wrapText="1"/>
    </xf>
    <xf numFmtId="38" fontId="3" fillId="3" borderId="30" xfId="20" applyNumberFormat="1" applyFill="1" applyBorder="1" applyAlignment="1">
      <alignment horizontal="center" vertical="center" wrapText="1"/>
    </xf>
    <xf numFmtId="38" fontId="3" fillId="3" borderId="27" xfId="20" applyNumberFormat="1" applyFill="1" applyBorder="1" applyAlignment="1">
      <alignment horizontal="center" vertical="center" wrapText="1"/>
    </xf>
    <xf numFmtId="38" fontId="3" fillId="0" borderId="27" xfId="19" applyNumberFormat="1" applyBorder="1" applyAlignment="1">
      <alignment horizontal="center" vertical="center" wrapText="1"/>
    </xf>
    <xf numFmtId="165" fontId="3" fillId="0" borderId="14" xfId="19" applyNumberFormat="1" applyBorder="1" applyAlignment="1">
      <alignment horizontal="center" vertical="center"/>
    </xf>
    <xf numFmtId="165" fontId="3" fillId="0" borderId="27" xfId="19" applyNumberFormat="1" applyBorder="1" applyAlignment="1">
      <alignment horizontal="center" vertical="center"/>
    </xf>
    <xf numFmtId="40" fontId="3" fillId="0" borderId="27" xfId="0" applyNumberFormat="1" applyFont="1" applyBorder="1" applyAlignment="1">
      <alignment horizontal="center" vertical="center"/>
    </xf>
    <xf numFmtId="166" fontId="3" fillId="0" borderId="14" xfId="20" applyNumberFormat="1" applyBorder="1" applyAlignment="1">
      <alignment horizontal="center" vertical="center"/>
    </xf>
    <xf numFmtId="166" fontId="3" fillId="0" borderId="27" xfId="20" applyNumberFormat="1" applyBorder="1" applyAlignment="1">
      <alignment horizontal="center" vertical="center"/>
    </xf>
    <xf numFmtId="38" fontId="3" fillId="0" borderId="17" xfId="19" applyNumberFormat="1" applyBorder="1" applyAlignment="1">
      <alignment horizontal="center" vertical="center"/>
    </xf>
    <xf numFmtId="38" fontId="3" fillId="3" borderId="14" xfId="19" applyNumberFormat="1" applyFill="1" applyBorder="1" applyAlignment="1">
      <alignment horizontal="center" vertical="center"/>
    </xf>
    <xf numFmtId="38" fontId="3" fillId="3" borderId="27" xfId="19" applyNumberFormat="1" applyFill="1" applyBorder="1" applyAlignment="1">
      <alignment horizontal="center" vertical="center"/>
    </xf>
    <xf numFmtId="38" fontId="3" fillId="0" borderId="15" xfId="0" applyNumberFormat="1" applyFont="1" applyBorder="1" applyAlignment="1">
      <alignment horizontal="center" vertical="center"/>
    </xf>
    <xf numFmtId="38" fontId="3" fillId="0" borderId="32" xfId="0" applyNumberFormat="1" applyFont="1" applyBorder="1" applyAlignment="1">
      <alignment horizontal="center" vertical="center"/>
    </xf>
    <xf numFmtId="38" fontId="3" fillId="0" borderId="36" xfId="19" applyNumberFormat="1" applyBorder="1" applyAlignment="1">
      <alignment horizontal="center" vertical="center"/>
    </xf>
    <xf numFmtId="38" fontId="3" fillId="0" borderId="37" xfId="19" applyNumberFormat="1" applyBorder="1" applyAlignment="1">
      <alignment horizontal="center" vertical="center"/>
    </xf>
    <xf numFmtId="38" fontId="3" fillId="0" borderId="0" xfId="19" applyNumberFormat="1" applyAlignment="1">
      <alignment horizontal="center" vertical="center"/>
    </xf>
    <xf numFmtId="38" fontId="4" fillId="8" borderId="14" xfId="19" applyNumberFormat="1" applyFont="1" applyFill="1" applyBorder="1" applyAlignment="1">
      <alignment horizontal="center" vertical="center"/>
    </xf>
    <xf numFmtId="38" fontId="4" fillId="8" borderId="1" xfId="19" applyNumberFormat="1" applyFont="1" applyFill="1" applyBorder="1" applyAlignment="1">
      <alignment horizontal="center" vertical="center"/>
    </xf>
    <xf numFmtId="40" fontId="16" fillId="0" borderId="14" xfId="0" applyNumberFormat="1" applyFont="1" applyBorder="1" applyAlignment="1">
      <alignment horizontal="center" vertical="center"/>
    </xf>
    <xf numFmtId="40" fontId="16" fillId="0" borderId="1" xfId="0" applyNumberFormat="1" applyFont="1" applyBorder="1" applyAlignment="1">
      <alignment horizontal="center" vertical="center"/>
    </xf>
    <xf numFmtId="38" fontId="16" fillId="0" borderId="14" xfId="19" applyNumberFormat="1" applyFont="1" applyBorder="1" applyAlignment="1">
      <alignment horizontal="center" vertical="center" wrapText="1"/>
    </xf>
    <xf numFmtId="38" fontId="16" fillId="0" borderId="1" xfId="19" applyNumberFormat="1" applyFont="1" applyBorder="1" applyAlignment="1">
      <alignment horizontal="center" vertical="center" wrapText="1"/>
    </xf>
    <xf numFmtId="38" fontId="16" fillId="0" borderId="14" xfId="19" applyNumberFormat="1" applyFont="1" applyBorder="1" applyAlignment="1">
      <alignment horizontal="center" vertical="center"/>
    </xf>
    <xf numFmtId="38" fontId="16" fillId="0" borderId="14" xfId="0" applyNumberFormat="1" applyFont="1" applyBorder="1" applyAlignment="1">
      <alignment horizontal="center" vertical="center"/>
    </xf>
    <xf numFmtId="166" fontId="16" fillId="0" borderId="14" xfId="19" applyNumberFormat="1" applyFont="1" applyBorder="1" applyAlignment="1">
      <alignment horizontal="center" vertical="center"/>
    </xf>
    <xf numFmtId="166" fontId="16" fillId="0" borderId="1" xfId="19" applyNumberFormat="1" applyFont="1" applyBorder="1" applyAlignment="1">
      <alignment horizontal="center" vertical="center"/>
    </xf>
    <xf numFmtId="169" fontId="16" fillId="0" borderId="14" xfId="19" applyNumberFormat="1" applyFont="1" applyBorder="1" applyAlignment="1">
      <alignment horizontal="center" vertical="center"/>
    </xf>
    <xf numFmtId="169" fontId="16" fillId="0" borderId="1" xfId="19" applyNumberFormat="1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38" fontId="16" fillId="0" borderId="11" xfId="19" applyNumberFormat="1" applyFont="1" applyBorder="1" applyAlignment="1">
      <alignment horizontal="center" vertical="center"/>
    </xf>
    <xf numFmtId="38" fontId="19" fillId="0" borderId="15" xfId="17" applyNumberFormat="1" applyBorder="1" applyAlignment="1">
      <alignment horizontal="center" vertical="center"/>
    </xf>
    <xf numFmtId="38" fontId="19" fillId="0" borderId="2" xfId="17" applyNumberFormat="1" applyBorder="1" applyAlignment="1">
      <alignment horizontal="center" vertical="center"/>
    </xf>
    <xf numFmtId="38" fontId="16" fillId="0" borderId="19" xfId="19" applyNumberFormat="1" applyFont="1" applyBorder="1" applyAlignment="1">
      <alignment horizontal="center" vertical="center"/>
    </xf>
    <xf numFmtId="38" fontId="16" fillId="0" borderId="21" xfId="19" applyNumberFormat="1" applyFont="1" applyBorder="1" applyAlignment="1">
      <alignment horizontal="center" vertical="center"/>
    </xf>
    <xf numFmtId="38" fontId="2" fillId="4" borderId="42" xfId="0" applyNumberFormat="1" applyFont="1" applyFill="1" applyBorder="1" applyAlignment="1">
      <alignment horizontal="center" vertical="center"/>
    </xf>
    <xf numFmtId="38" fontId="2" fillId="4" borderId="41" xfId="0" applyNumberFormat="1" applyFont="1" applyFill="1" applyBorder="1" applyAlignment="1">
      <alignment horizontal="center" vertical="center"/>
    </xf>
    <xf numFmtId="38" fontId="15" fillId="4" borderId="53" xfId="0" applyNumberFormat="1" applyFont="1" applyFill="1" applyBorder="1" applyAlignment="1">
      <alignment horizontal="center" vertical="center"/>
    </xf>
    <xf numFmtId="38" fontId="6" fillId="4" borderId="55" xfId="0" applyNumberFormat="1" applyFont="1" applyFill="1" applyBorder="1" applyAlignment="1">
      <alignment horizontal="center" vertical="center"/>
    </xf>
    <xf numFmtId="38" fontId="4" fillId="9" borderId="44" xfId="19" applyNumberFormat="1" applyFont="1" applyFill="1" applyBorder="1" applyAlignment="1">
      <alignment horizontal="center" vertical="center"/>
    </xf>
    <xf numFmtId="38" fontId="4" fillId="7" borderId="9" xfId="0" applyNumberFormat="1" applyFont="1" applyFill="1" applyBorder="1" applyAlignment="1">
      <alignment horizontal="center" vertical="center"/>
    </xf>
    <xf numFmtId="38" fontId="4" fillId="7" borderId="14" xfId="19" applyNumberFormat="1" applyFont="1" applyFill="1" applyBorder="1" applyAlignment="1">
      <alignment horizontal="center" vertical="center"/>
    </xf>
    <xf numFmtId="38" fontId="8" fillId="0" borderId="15" xfId="0" applyNumberFormat="1" applyFont="1" applyBorder="1" applyAlignment="1">
      <alignment horizontal="center" vertical="center"/>
    </xf>
    <xf numFmtId="38" fontId="3" fillId="0" borderId="29" xfId="19" applyNumberFormat="1" applyBorder="1" applyAlignment="1">
      <alignment horizontal="center" vertical="center" wrapText="1"/>
    </xf>
    <xf numFmtId="38" fontId="3" fillId="0" borderId="58" xfId="20" applyNumberFormat="1" applyBorder="1" applyAlignment="1">
      <alignment horizontal="center" vertical="center" wrapText="1"/>
    </xf>
    <xf numFmtId="38" fontId="3" fillId="0" borderId="58" xfId="19" applyNumberFormat="1" applyBorder="1" applyAlignment="1">
      <alignment horizontal="center" vertical="center" wrapText="1"/>
    </xf>
    <xf numFmtId="40" fontId="3" fillId="0" borderId="27" xfId="19" applyNumberFormat="1" applyBorder="1" applyAlignment="1">
      <alignment horizontal="center" vertical="center"/>
    </xf>
    <xf numFmtId="40" fontId="16" fillId="0" borderId="27" xfId="0" applyNumberFormat="1" applyFont="1" applyBorder="1" applyAlignment="1">
      <alignment horizontal="center" vertical="center"/>
    </xf>
    <xf numFmtId="38" fontId="16" fillId="0" borderId="27" xfId="19" applyNumberFormat="1" applyFont="1" applyBorder="1" applyAlignment="1">
      <alignment horizontal="center" vertical="center" wrapText="1"/>
    </xf>
    <xf numFmtId="38" fontId="16" fillId="0" borderId="27" xfId="19" applyNumberFormat="1" applyFont="1" applyBorder="1" applyAlignment="1">
      <alignment horizontal="center" vertical="center"/>
    </xf>
    <xf numFmtId="38" fontId="16" fillId="0" borderId="27" xfId="0" applyNumberFormat="1" applyFont="1" applyBorder="1" applyAlignment="1">
      <alignment horizontal="center" vertical="center"/>
    </xf>
    <xf numFmtId="40" fontId="16" fillId="0" borderId="14" xfId="19" applyNumberFormat="1" applyFont="1" applyBorder="1" applyAlignment="1">
      <alignment horizontal="center" vertical="center"/>
    </xf>
    <xf numFmtId="40" fontId="16" fillId="0" borderId="27" xfId="19" applyNumberFormat="1" applyFont="1" applyBorder="1" applyAlignment="1">
      <alignment horizontal="center" vertical="center"/>
    </xf>
    <xf numFmtId="169" fontId="16" fillId="0" borderId="27" xfId="19" applyNumberFormat="1" applyFont="1" applyBorder="1" applyAlignment="1">
      <alignment horizontal="center" vertical="center"/>
    </xf>
    <xf numFmtId="38" fontId="3" fillId="0" borderId="33" xfId="19" applyNumberFormat="1" applyBorder="1" applyAlignment="1">
      <alignment horizontal="center" vertical="center"/>
    </xf>
    <xf numFmtId="38" fontId="0" fillId="0" borderId="27" xfId="0" applyNumberFormat="1" applyBorder="1" applyAlignment="1">
      <alignment horizontal="center" vertical="center"/>
    </xf>
    <xf numFmtId="38" fontId="4" fillId="0" borderId="0" xfId="19" applyNumberFormat="1" applyFont="1" applyAlignment="1">
      <alignment horizontal="center" vertical="center" wrapText="1"/>
    </xf>
    <xf numFmtId="38" fontId="4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38" fontId="4" fillId="8" borderId="27" xfId="19" applyNumberFormat="1" applyFont="1" applyFill="1" applyBorder="1" applyAlignment="1">
      <alignment horizontal="center" vertical="center"/>
    </xf>
    <xf numFmtId="38" fontId="19" fillId="0" borderId="26" xfId="17" applyNumberFormat="1" applyBorder="1" applyAlignment="1">
      <alignment horizontal="center" vertical="center"/>
    </xf>
    <xf numFmtId="38" fontId="16" fillId="0" borderId="57" xfId="19" applyNumberFormat="1" applyFont="1" applyBorder="1" applyAlignment="1">
      <alignment horizontal="center" vertical="center"/>
    </xf>
    <xf numFmtId="38" fontId="3" fillId="0" borderId="11" xfId="20" applyNumberFormat="1" applyBorder="1" applyAlignment="1">
      <alignment horizontal="center" vertical="center"/>
    </xf>
    <xf numFmtId="38" fontId="12" fillId="0" borderId="0" xfId="0" applyNumberFormat="1" applyFont="1" applyAlignment="1">
      <alignment horizontal="center" vertical="center" wrapText="1"/>
    </xf>
    <xf numFmtId="38" fontId="4" fillId="5" borderId="63" xfId="19" applyNumberFormat="1" applyFont="1" applyFill="1" applyBorder="1" applyAlignment="1">
      <alignment horizontal="center" vertical="center"/>
    </xf>
    <xf numFmtId="168" fontId="4" fillId="0" borderId="0" xfId="1" applyNumberFormat="1" applyFont="1" applyAlignment="1">
      <alignment horizontal="left" vertical="center"/>
    </xf>
    <xf numFmtId="38" fontId="22" fillId="0" borderId="0" xfId="0" applyNumberFormat="1" applyFont="1" applyAlignment="1">
      <alignment horizontal="left" vertical="center"/>
    </xf>
    <xf numFmtId="38" fontId="15" fillId="4" borderId="59" xfId="0" applyNumberFormat="1" applyFont="1" applyFill="1" applyBorder="1" applyAlignment="1">
      <alignment horizontal="center" vertical="center"/>
    </xf>
    <xf numFmtId="38" fontId="15" fillId="4" borderId="60" xfId="0" applyNumberFormat="1" applyFont="1" applyFill="1" applyBorder="1" applyAlignment="1">
      <alignment horizontal="center" vertical="center"/>
    </xf>
    <xf numFmtId="38" fontId="15" fillId="4" borderId="53" xfId="0" applyNumberFormat="1" applyFont="1" applyFill="1" applyBorder="1" applyAlignment="1">
      <alignment horizontal="center" vertical="center"/>
    </xf>
    <xf numFmtId="38" fontId="15" fillId="4" borderId="54" xfId="0" applyNumberFormat="1" applyFont="1" applyFill="1" applyBorder="1" applyAlignment="1">
      <alignment horizontal="center" vertical="center"/>
    </xf>
    <xf numFmtId="38" fontId="6" fillId="4" borderId="55" xfId="0" applyNumberFormat="1" applyFont="1" applyFill="1" applyBorder="1" applyAlignment="1">
      <alignment horizontal="center" vertical="center"/>
    </xf>
    <xf numFmtId="38" fontId="6" fillId="4" borderId="56" xfId="0" applyNumberFormat="1" applyFont="1" applyFill="1" applyBorder="1" applyAlignment="1">
      <alignment horizontal="center" vertical="center"/>
    </xf>
    <xf numFmtId="38" fontId="6" fillId="4" borderId="61" xfId="0" applyNumberFormat="1" applyFont="1" applyFill="1" applyBorder="1" applyAlignment="1">
      <alignment horizontal="center" vertical="center"/>
    </xf>
    <xf numFmtId="38" fontId="6" fillId="4" borderId="62" xfId="0" applyNumberFormat="1" applyFont="1" applyFill="1" applyBorder="1" applyAlignment="1">
      <alignment horizontal="center" vertical="center"/>
    </xf>
    <xf numFmtId="38" fontId="13" fillId="4" borderId="56" xfId="0" applyNumberFormat="1" applyFont="1" applyFill="1" applyBorder="1" applyAlignment="1">
      <alignment horizontal="center" vertical="center"/>
    </xf>
    <xf numFmtId="167" fontId="12" fillId="0" borderId="28" xfId="0" applyNumberFormat="1" applyFont="1" applyBorder="1" applyAlignment="1">
      <alignment horizontal="center" vertical="center" wrapText="1"/>
    </xf>
    <xf numFmtId="167" fontId="12" fillId="0" borderId="30" xfId="0" applyNumberFormat="1" applyFont="1" applyBorder="1" applyAlignment="1">
      <alignment horizontal="center" vertical="center" wrapText="1"/>
    </xf>
    <xf numFmtId="167" fontId="12" fillId="0" borderId="14" xfId="0" applyNumberFormat="1" applyFont="1" applyBorder="1" applyAlignment="1">
      <alignment horizontal="center" vertical="center" wrapText="1"/>
    </xf>
    <xf numFmtId="167" fontId="12" fillId="0" borderId="17" xfId="0" applyNumberFormat="1" applyFont="1" applyBorder="1" applyAlignment="1">
      <alignment horizontal="center" vertical="center" wrapText="1"/>
    </xf>
    <xf numFmtId="167" fontId="12" fillId="0" borderId="15" xfId="0" applyNumberFormat="1" applyFont="1" applyBorder="1" applyAlignment="1">
      <alignment horizontal="center" vertical="center" wrapText="1"/>
    </xf>
    <xf numFmtId="38" fontId="12" fillId="0" borderId="11" xfId="0" applyNumberFormat="1" applyFont="1" applyBorder="1" applyAlignment="1">
      <alignment horizontal="center" vertical="center" wrapText="1"/>
    </xf>
    <xf numFmtId="38" fontId="12" fillId="0" borderId="14" xfId="0" applyNumberFormat="1" applyFont="1" applyBorder="1" applyAlignment="1">
      <alignment horizontal="center" vertical="center" wrapText="1"/>
    </xf>
    <xf numFmtId="38" fontId="12" fillId="0" borderId="15" xfId="0" applyNumberFormat="1" applyFont="1" applyBorder="1" applyAlignment="1">
      <alignment horizontal="center" vertical="center" wrapText="1"/>
    </xf>
    <xf numFmtId="38" fontId="12" fillId="0" borderId="30" xfId="0" applyNumberFormat="1" applyFont="1" applyBorder="1" applyAlignment="1">
      <alignment horizontal="center" vertical="center" wrapText="1"/>
    </xf>
    <xf numFmtId="38" fontId="12" fillId="0" borderId="36" xfId="0" applyNumberFormat="1" applyFont="1" applyBorder="1" applyAlignment="1">
      <alignment horizontal="center" vertical="center" wrapText="1"/>
    </xf>
    <xf numFmtId="38" fontId="3" fillId="0" borderId="0" xfId="0" applyNumberFormat="1" applyFont="1" applyAlignment="1">
      <alignment horizontal="left" vertical="center" wrapText="1"/>
    </xf>
    <xf numFmtId="38" fontId="12" fillId="0" borderId="0" xfId="0" applyNumberFormat="1" applyFont="1" applyAlignment="1">
      <alignment horizontal="left" vertical="center" wrapText="1"/>
    </xf>
    <xf numFmtId="38" fontId="2" fillId="4" borderId="41" xfId="0" applyNumberFormat="1" applyFont="1" applyFill="1" applyBorder="1" applyAlignment="1">
      <alignment horizontal="center" vertical="center"/>
    </xf>
    <xf numFmtId="38" fontId="2" fillId="4" borderId="35" xfId="0" applyNumberFormat="1" applyFont="1" applyFill="1" applyBorder="1" applyAlignment="1">
      <alignment horizontal="center" vertical="center"/>
    </xf>
    <xf numFmtId="38" fontId="2" fillId="4" borderId="42" xfId="0" applyNumberFormat="1" applyFont="1" applyFill="1" applyBorder="1" applyAlignment="1">
      <alignment horizontal="center" vertical="center"/>
    </xf>
    <xf numFmtId="38" fontId="2" fillId="4" borderId="43" xfId="0" applyNumberFormat="1" applyFont="1" applyFill="1" applyBorder="1" applyAlignment="1">
      <alignment horizontal="center" vertical="center"/>
    </xf>
    <xf numFmtId="38" fontId="4" fillId="9" borderId="44" xfId="19" applyNumberFormat="1" applyFont="1" applyFill="1" applyBorder="1" applyAlignment="1">
      <alignment horizontal="center" vertical="center"/>
    </xf>
    <xf numFmtId="38" fontId="4" fillId="9" borderId="46" xfId="19" applyNumberFormat="1" applyFont="1" applyFill="1" applyBorder="1" applyAlignment="1">
      <alignment horizontal="center" vertical="center"/>
    </xf>
    <xf numFmtId="38" fontId="4" fillId="7" borderId="28" xfId="0" applyNumberFormat="1" applyFont="1" applyFill="1" applyBorder="1" applyAlignment="1">
      <alignment horizontal="center" vertical="center"/>
    </xf>
    <xf numFmtId="38" fontId="4" fillId="7" borderId="29" xfId="0" applyNumberFormat="1" applyFont="1" applyFill="1" applyBorder="1" applyAlignment="1">
      <alignment horizontal="center" vertical="center"/>
    </xf>
    <xf numFmtId="38" fontId="4" fillId="6" borderId="44" xfId="19" applyNumberFormat="1" applyFont="1" applyFill="1" applyBorder="1" applyAlignment="1">
      <alignment horizontal="center" vertical="center"/>
    </xf>
    <xf numFmtId="38" fontId="4" fillId="6" borderId="45" xfId="19" applyNumberFormat="1" applyFont="1" applyFill="1" applyBorder="1" applyAlignment="1">
      <alignment horizontal="center" vertical="center"/>
    </xf>
    <xf numFmtId="38" fontId="4" fillId="5" borderId="9" xfId="0" applyNumberFormat="1" applyFont="1" applyFill="1" applyBorder="1" applyAlignment="1">
      <alignment horizontal="center" vertical="center"/>
    </xf>
    <xf numFmtId="38" fontId="4" fillId="5" borderId="24" xfId="0" applyNumberFormat="1" applyFont="1" applyFill="1" applyBorder="1" applyAlignment="1">
      <alignment horizontal="center" vertical="center"/>
    </xf>
    <xf numFmtId="38" fontId="2" fillId="4" borderId="25" xfId="0" applyNumberFormat="1" applyFont="1" applyFill="1" applyBorder="1" applyAlignment="1">
      <alignment horizontal="center" vertical="center"/>
    </xf>
    <xf numFmtId="38" fontId="2" fillId="4" borderId="34" xfId="0" applyNumberFormat="1" applyFont="1" applyFill="1" applyBorder="1" applyAlignment="1">
      <alignment horizontal="center" vertical="center"/>
    </xf>
    <xf numFmtId="38" fontId="6" fillId="0" borderId="0" xfId="0" applyNumberFormat="1" applyFont="1" applyAlignment="1">
      <alignment horizontal="left" vertical="center"/>
    </xf>
    <xf numFmtId="38" fontId="4" fillId="6" borderId="46" xfId="19" applyNumberFormat="1" applyFont="1" applyFill="1" applyBorder="1" applyAlignment="1">
      <alignment horizontal="center" vertical="center"/>
    </xf>
    <xf numFmtId="38" fontId="3" fillId="0" borderId="11" xfId="0" applyNumberFormat="1" applyFont="1" applyBorder="1" applyAlignment="1">
      <alignment horizontal="center" vertical="center" wrapText="1"/>
    </xf>
    <xf numFmtId="38" fontId="3" fillId="0" borderId="14" xfId="0" applyNumberFormat="1" applyFont="1" applyBorder="1" applyAlignment="1">
      <alignment horizontal="center" vertical="center" wrapText="1"/>
    </xf>
    <xf numFmtId="38" fontId="3" fillId="0" borderId="15" xfId="0" applyNumberFormat="1" applyFont="1" applyBorder="1" applyAlignment="1">
      <alignment horizontal="center" vertical="center" wrapText="1"/>
    </xf>
    <xf numFmtId="38" fontId="3" fillId="0" borderId="30" xfId="0" applyNumberFormat="1" applyFont="1" applyBorder="1" applyAlignment="1">
      <alignment horizontal="center" vertical="center" wrapText="1"/>
    </xf>
    <xf numFmtId="38" fontId="3" fillId="3" borderId="11" xfId="0" applyNumberFormat="1" applyFont="1" applyFill="1" applyBorder="1" applyAlignment="1">
      <alignment horizontal="center" vertical="center" wrapText="1"/>
    </xf>
    <xf numFmtId="38" fontId="3" fillId="3" borderId="14" xfId="0" applyNumberFormat="1" applyFont="1" applyFill="1" applyBorder="1" applyAlignment="1">
      <alignment horizontal="center" vertical="center" wrapText="1"/>
    </xf>
    <xf numFmtId="38" fontId="3" fillId="3" borderId="19" xfId="0" applyNumberFormat="1" applyFont="1" applyFill="1" applyBorder="1" applyAlignment="1">
      <alignment horizontal="center" vertical="center" wrapText="1"/>
    </xf>
    <xf numFmtId="38" fontId="5" fillId="3" borderId="0" xfId="0" applyNumberFormat="1" applyFont="1" applyFill="1" applyAlignment="1">
      <alignment horizontal="left" vertical="center" wrapText="1"/>
    </xf>
    <xf numFmtId="164" fontId="21" fillId="0" borderId="40" xfId="0" applyNumberFormat="1" applyFont="1" applyFill="1" applyBorder="1" applyAlignment="1">
      <alignment horizontal="left"/>
    </xf>
    <xf numFmtId="164" fontId="21" fillId="0" borderId="6" xfId="0" applyNumberFormat="1" applyFont="1" applyFill="1" applyBorder="1" applyAlignment="1">
      <alignment horizontal="left"/>
    </xf>
    <xf numFmtId="38" fontId="21" fillId="0" borderId="38" xfId="19" applyNumberFormat="1" applyFont="1" applyFill="1" applyBorder="1" applyAlignment="1">
      <alignment horizontal="center" vertical="center" wrapText="1"/>
    </xf>
    <xf numFmtId="38" fontId="21" fillId="0" borderId="40" xfId="19" applyNumberFormat="1" applyFont="1" applyFill="1" applyBorder="1" applyAlignment="1">
      <alignment horizontal="center" vertical="center" wrapText="1"/>
    </xf>
    <xf numFmtId="38" fontId="4" fillId="0" borderId="40" xfId="19" applyNumberFormat="1" applyFont="1" applyFill="1" applyBorder="1" applyAlignment="1">
      <alignment horizontal="center" vertical="center" wrapText="1"/>
    </xf>
    <xf numFmtId="38" fontId="21" fillId="0" borderId="38" xfId="0" applyNumberFormat="1" applyFont="1" applyFill="1" applyBorder="1" applyAlignment="1">
      <alignment horizontal="center" vertical="center"/>
    </xf>
    <xf numFmtId="164" fontId="4" fillId="0" borderId="40" xfId="0" applyNumberFormat="1" applyFont="1" applyFill="1" applyBorder="1" applyAlignment="1">
      <alignment horizontal="left"/>
    </xf>
    <xf numFmtId="164" fontId="4" fillId="0" borderId="6" xfId="0" applyNumberFormat="1" applyFont="1" applyFill="1" applyBorder="1" applyAlignment="1">
      <alignment horizontal="left"/>
    </xf>
    <xf numFmtId="38" fontId="4" fillId="0" borderId="38" xfId="19" applyNumberFormat="1" applyFont="1" applyFill="1" applyBorder="1" applyAlignment="1">
      <alignment horizontal="center" vertical="center" wrapText="1"/>
    </xf>
    <xf numFmtId="38" fontId="3" fillId="2" borderId="0" xfId="0" applyNumberFormat="1" applyFont="1" applyFill="1" applyAlignment="1">
      <alignment vertical="center"/>
    </xf>
    <xf numFmtId="38" fontId="4" fillId="2" borderId="0" xfId="19" applyNumberFormat="1" applyFont="1" applyFill="1" applyAlignment="1">
      <alignment horizontal="center" vertical="center" wrapText="1"/>
    </xf>
    <xf numFmtId="164" fontId="21" fillId="0" borderId="38" xfId="0" applyNumberFormat="1" applyFont="1" applyFill="1" applyBorder="1" applyAlignment="1">
      <alignment horizontal="left"/>
    </xf>
    <xf numFmtId="38" fontId="21" fillId="0" borderId="39" xfId="0" applyNumberFormat="1" applyFont="1" applyFill="1" applyBorder="1" applyAlignment="1">
      <alignment horizontal="center" vertical="center"/>
    </xf>
    <xf numFmtId="38" fontId="21" fillId="0" borderId="40" xfId="0" applyNumberFormat="1" applyFont="1" applyFill="1" applyBorder="1" applyAlignment="1">
      <alignment horizontal="center" vertical="center"/>
    </xf>
    <xf numFmtId="38" fontId="21" fillId="0" borderId="64" xfId="0" applyNumberFormat="1" applyFont="1" applyFill="1" applyBorder="1" applyAlignment="1">
      <alignment horizontal="center" vertical="center"/>
    </xf>
    <xf numFmtId="40" fontId="3" fillId="0" borderId="0" xfId="0" applyNumberFormat="1" applyFont="1" applyAlignment="1">
      <alignment horizontal="center" vertical="center"/>
    </xf>
    <xf numFmtId="40" fontId="12" fillId="0" borderId="0" xfId="0" applyNumberFormat="1" applyFont="1" applyAlignment="1">
      <alignment horizontal="center" vertical="center"/>
    </xf>
  </cellXfs>
  <cellStyles count="22">
    <cellStyle name="Comma 2" xfId="1" xr:uid="{00000000-0005-0000-0000-000031000000}"/>
    <cellStyle name="Normal" xfId="0" builtinId="0"/>
    <cellStyle name="Normal 2" xfId="2" xr:uid="{00000000-0005-0000-0000-000032000000}"/>
    <cellStyle name="Normal 3" xfId="3" xr:uid="{00000000-0005-0000-0000-000033000000}"/>
    <cellStyle name="Normal 4" xfId="4" xr:uid="{00000000-0005-0000-0000-000034000000}"/>
    <cellStyle name="Normal 4 2" xfId="5" xr:uid="{00000000-0005-0000-0000-000035000000}"/>
    <cellStyle name="Normal 5" xfId="6" xr:uid="{00000000-0005-0000-0000-000036000000}"/>
    <cellStyle name="Percent 2" xfId="7" xr:uid="{00000000-0005-0000-0000-000037000000}"/>
    <cellStyle name="Percent 3" xfId="8" xr:uid="{00000000-0005-0000-0000-000038000000}"/>
    <cellStyle name="표준 2" xfId="19" xr:uid="{00000000-0005-0000-0000-000043000000}"/>
    <cellStyle name="표준 2 2" xfId="20" xr:uid="{00000000-0005-0000-0000-000044000000}"/>
    <cellStyle name="一般 2" xfId="17" xr:uid="{00000000-0005-0000-0000-000041000000}"/>
    <cellStyle name="一般 3" xfId="18" xr:uid="{00000000-0005-0000-0000-000042000000}"/>
    <cellStyle name="常规 2" xfId="9" xr:uid="{00000000-0005-0000-0000-000039000000}"/>
    <cellStyle name="常规 3" xfId="10" xr:uid="{00000000-0005-0000-0000-00003A000000}"/>
    <cellStyle name="常规 4" xfId="11" xr:uid="{00000000-0005-0000-0000-00003B000000}"/>
    <cellStyle name="常规 4 2" xfId="12" xr:uid="{00000000-0005-0000-0000-00003C000000}"/>
    <cellStyle name="常规 5" xfId="13" xr:uid="{00000000-0005-0000-0000-00003D000000}"/>
    <cellStyle name="常规 5 2" xfId="14" xr:uid="{00000000-0005-0000-0000-00003E000000}"/>
    <cellStyle name="常规 5 2 2" xfId="15" xr:uid="{00000000-0005-0000-0000-00003F000000}"/>
    <cellStyle name="常规 5 3" xfId="16" xr:uid="{00000000-0005-0000-0000-000040000000}"/>
    <cellStyle name="常规_000-LI06TH-1D-PF P6-FA 0706015" xfId="21" xr:uid="{00000000-0005-0000-0000-000045000000}"/>
  </cellStyles>
  <dxfs count="0"/>
  <tableStyles count="0" defaultTableStyle="TableStyleMedium2" defaultPivotStyle="PivotStyleLight16"/>
  <colors>
    <mruColors>
      <color rgb="FF0000FF"/>
      <color rgb="FFFF99FF"/>
      <color rgb="FFCCFFFF"/>
      <color rgb="FF006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showGridLines="0" tabSelected="1" zoomScale="130" zoomScaleNormal="130" zoomScaleSheetLayoutView="40" workbookViewId="0">
      <pane xSplit="3" ySplit="11" topLeftCell="D12" activePane="bottomRight" state="frozen"/>
      <selection pane="topRight"/>
      <selection pane="bottomLeft"/>
      <selection pane="bottomRight" activeCell="C65" sqref="C65"/>
    </sheetView>
  </sheetViews>
  <sheetFormatPr defaultColWidth="9" defaultRowHeight="12.75"/>
  <cols>
    <col min="1" max="1" width="2.33203125" style="7" customWidth="1"/>
    <col min="2" max="2" width="11.1328125" style="4" customWidth="1"/>
    <col min="3" max="3" width="36.1328125" style="4" bestFit="1" customWidth="1"/>
    <col min="4" max="4" width="24.1328125" style="4" customWidth="1"/>
    <col min="5" max="18" width="15.796875" style="4" customWidth="1"/>
    <col min="19" max="16384" width="9" style="4"/>
  </cols>
  <sheetData>
    <row r="1" spans="1:18" ht="5.25" customHeight="1">
      <c r="B1" s="3"/>
      <c r="C1" s="3"/>
    </row>
    <row r="2" spans="1:18" ht="17.25" customHeight="1">
      <c r="B2" s="227" t="s">
        <v>159</v>
      </c>
      <c r="C2" s="263"/>
    </row>
    <row r="3" spans="1:18" ht="7.5" customHeight="1" thickBot="1">
      <c r="B3" s="8"/>
      <c r="C3" s="8"/>
    </row>
    <row r="4" spans="1:18" s="1" customFormat="1" ht="13.5" customHeight="1">
      <c r="A4" s="9"/>
      <c r="B4" s="10"/>
      <c r="C4" s="11"/>
      <c r="D4" s="196" t="s">
        <v>150</v>
      </c>
      <c r="E4" s="249" t="s">
        <v>0</v>
      </c>
      <c r="F4" s="262"/>
      <c r="G4" s="249" t="s">
        <v>1</v>
      </c>
      <c r="H4" s="262"/>
      <c r="I4" s="249" t="s">
        <v>140</v>
      </c>
      <c r="J4" s="262"/>
      <c r="K4" s="249" t="s">
        <v>141</v>
      </c>
      <c r="L4" s="262"/>
      <c r="M4" s="249" t="s">
        <v>2</v>
      </c>
      <c r="N4" s="262"/>
      <c r="O4" s="249" t="s">
        <v>3</v>
      </c>
      <c r="P4" s="262"/>
      <c r="Q4" s="249" t="s">
        <v>148</v>
      </c>
      <c r="R4" s="250"/>
    </row>
    <row r="5" spans="1:18" s="1" customFormat="1" ht="13.5" customHeight="1" thickBot="1">
      <c r="A5" s="9"/>
      <c r="B5" s="10"/>
      <c r="C5" s="11"/>
      <c r="D5" s="195" t="s">
        <v>4</v>
      </c>
      <c r="E5" s="251" t="s">
        <v>4</v>
      </c>
      <c r="F5" s="252"/>
      <c r="G5" s="251" t="s">
        <v>4</v>
      </c>
      <c r="H5" s="261"/>
      <c r="I5" s="251" t="s">
        <v>4</v>
      </c>
      <c r="J5" s="261"/>
      <c r="K5" s="251" t="s">
        <v>4</v>
      </c>
      <c r="L5" s="261"/>
      <c r="M5" s="251" t="s">
        <v>5</v>
      </c>
      <c r="N5" s="261"/>
      <c r="O5" s="251" t="s">
        <v>6</v>
      </c>
      <c r="P5" s="261"/>
      <c r="Q5" s="251" t="s">
        <v>6</v>
      </c>
      <c r="R5" s="252"/>
    </row>
    <row r="6" spans="1:18" ht="13.5" customHeight="1" thickTop="1" thickBot="1">
      <c r="D6" s="199" t="s">
        <v>7</v>
      </c>
      <c r="E6" s="257" t="s">
        <v>7</v>
      </c>
      <c r="F6" s="264"/>
      <c r="G6" s="257" t="s">
        <v>7</v>
      </c>
      <c r="H6" s="258"/>
      <c r="I6" s="257" t="s">
        <v>7</v>
      </c>
      <c r="J6" s="258"/>
      <c r="K6" s="257" t="s">
        <v>7</v>
      </c>
      <c r="L6" s="258"/>
      <c r="M6" s="257" t="s">
        <v>8</v>
      </c>
      <c r="N6" s="258"/>
      <c r="O6" s="257" t="s">
        <v>9</v>
      </c>
      <c r="P6" s="258"/>
      <c r="Q6" s="253" t="s">
        <v>9</v>
      </c>
      <c r="R6" s="254"/>
    </row>
    <row r="7" spans="1:18" s="6" customFormat="1" ht="15" customHeight="1" thickTop="1">
      <c r="A7" s="29"/>
      <c r="D7" s="200" t="s">
        <v>10</v>
      </c>
      <c r="E7" s="259" t="s">
        <v>11</v>
      </c>
      <c r="F7" s="260"/>
      <c r="G7" s="259" t="s">
        <v>12</v>
      </c>
      <c r="H7" s="260"/>
      <c r="I7" s="259" t="s">
        <v>142</v>
      </c>
      <c r="J7" s="260"/>
      <c r="K7" s="114"/>
      <c r="L7" s="114"/>
      <c r="M7" s="259" t="s">
        <v>13</v>
      </c>
      <c r="N7" s="260"/>
      <c r="O7" s="259" t="s">
        <v>13</v>
      </c>
      <c r="P7" s="260"/>
      <c r="Q7" s="255"/>
      <c r="R7" s="256"/>
    </row>
    <row r="8" spans="1:18" ht="13.5" thickBot="1">
      <c r="B8" s="155" t="s">
        <v>153</v>
      </c>
      <c r="D8" s="201" t="s">
        <v>14</v>
      </c>
      <c r="E8" s="115" t="s">
        <v>14</v>
      </c>
      <c r="F8" s="116" t="s">
        <v>14</v>
      </c>
      <c r="G8" s="176" t="s">
        <v>14</v>
      </c>
      <c r="H8" s="177" t="s">
        <v>14</v>
      </c>
      <c r="I8" s="176" t="s">
        <v>14</v>
      </c>
      <c r="J8" s="177" t="s">
        <v>14</v>
      </c>
      <c r="K8" s="176" t="s">
        <v>14</v>
      </c>
      <c r="L8" s="177" t="s">
        <v>14</v>
      </c>
      <c r="M8" s="176" t="s">
        <v>14</v>
      </c>
      <c r="N8" s="177" t="s">
        <v>14</v>
      </c>
      <c r="O8" s="176" t="s">
        <v>14</v>
      </c>
      <c r="P8" s="177" t="s">
        <v>14</v>
      </c>
      <c r="Q8" s="176" t="s">
        <v>14</v>
      </c>
      <c r="R8" s="220" t="s">
        <v>14</v>
      </c>
    </row>
    <row r="9" spans="1:18" ht="25.9" thickTop="1">
      <c r="B9" s="66" t="s">
        <v>15</v>
      </c>
      <c r="C9" s="67" t="s">
        <v>16</v>
      </c>
      <c r="D9" s="68" t="s">
        <v>152</v>
      </c>
      <c r="E9" s="68" t="s">
        <v>17</v>
      </c>
      <c r="F9" s="69" t="s">
        <v>18</v>
      </c>
      <c r="G9" s="68" t="s">
        <v>17</v>
      </c>
      <c r="H9" s="69" t="s">
        <v>17</v>
      </c>
      <c r="I9" s="68" t="s">
        <v>17</v>
      </c>
      <c r="J9" s="69" t="s">
        <v>17</v>
      </c>
      <c r="K9" s="68" t="s">
        <v>17</v>
      </c>
      <c r="L9" s="69" t="s">
        <v>17</v>
      </c>
      <c r="M9" s="68" t="s">
        <v>17</v>
      </c>
      <c r="N9" s="69" t="s">
        <v>17</v>
      </c>
      <c r="O9" s="68" t="s">
        <v>17</v>
      </c>
      <c r="P9" s="69" t="s">
        <v>17</v>
      </c>
      <c r="Q9" s="68" t="s">
        <v>17</v>
      </c>
      <c r="R9" s="203" t="s">
        <v>17</v>
      </c>
    </row>
    <row r="10" spans="1:18" ht="25.05" customHeight="1">
      <c r="B10" s="70"/>
      <c r="C10" s="71" t="s">
        <v>19</v>
      </c>
      <c r="D10" s="72" t="s">
        <v>151</v>
      </c>
      <c r="E10" s="72" t="s">
        <v>20</v>
      </c>
      <c r="F10" s="74" t="s">
        <v>21</v>
      </c>
      <c r="G10" s="72" t="s">
        <v>136</v>
      </c>
      <c r="H10" s="73" t="s">
        <v>137</v>
      </c>
      <c r="I10" s="72" t="s">
        <v>136</v>
      </c>
      <c r="J10" s="73" t="s">
        <v>137</v>
      </c>
      <c r="K10" s="72" t="s">
        <v>136</v>
      </c>
      <c r="L10" s="73" t="s">
        <v>137</v>
      </c>
      <c r="M10" s="72" t="s">
        <v>136</v>
      </c>
      <c r="N10" s="73" t="s">
        <v>137</v>
      </c>
      <c r="O10" s="72" t="s">
        <v>136</v>
      </c>
      <c r="P10" s="73" t="s">
        <v>137</v>
      </c>
      <c r="Q10" s="72" t="s">
        <v>136</v>
      </c>
      <c r="R10" s="204" t="s">
        <v>137</v>
      </c>
    </row>
    <row r="11" spans="1:18">
      <c r="B11" s="70"/>
      <c r="C11" s="75" t="s">
        <v>22</v>
      </c>
      <c r="D11" s="76" t="s">
        <v>23</v>
      </c>
      <c r="E11" s="76" t="s">
        <v>23</v>
      </c>
      <c r="F11" s="77" t="s">
        <v>23</v>
      </c>
      <c r="G11" s="76" t="s">
        <v>23</v>
      </c>
      <c r="H11" s="77" t="s">
        <v>23</v>
      </c>
      <c r="I11" s="76" t="s">
        <v>23</v>
      </c>
      <c r="J11" s="77" t="s">
        <v>23</v>
      </c>
      <c r="K11" s="76" t="s">
        <v>23</v>
      </c>
      <c r="L11" s="77" t="s">
        <v>23</v>
      </c>
      <c r="M11" s="76" t="s">
        <v>23</v>
      </c>
      <c r="N11" s="77" t="s">
        <v>23</v>
      </c>
      <c r="O11" s="76" t="s">
        <v>23</v>
      </c>
      <c r="P11" s="77" t="s">
        <v>23</v>
      </c>
      <c r="Q11" s="76" t="s">
        <v>23</v>
      </c>
      <c r="R11" s="205" t="s">
        <v>23</v>
      </c>
    </row>
    <row r="12" spans="1:18">
      <c r="B12" s="70"/>
      <c r="C12" s="75" t="s">
        <v>24</v>
      </c>
      <c r="D12" s="76">
        <v>2</v>
      </c>
      <c r="E12" s="76">
        <v>2</v>
      </c>
      <c r="F12" s="77">
        <v>2</v>
      </c>
      <c r="G12" s="76">
        <v>2</v>
      </c>
      <c r="H12" s="77">
        <v>2</v>
      </c>
      <c r="I12" s="76">
        <v>2</v>
      </c>
      <c r="J12" s="77">
        <v>2</v>
      </c>
      <c r="K12" s="76">
        <v>2</v>
      </c>
      <c r="L12" s="77">
        <v>2</v>
      </c>
      <c r="M12" s="76">
        <v>4</v>
      </c>
      <c r="N12" s="77">
        <v>4</v>
      </c>
      <c r="O12" s="76">
        <v>2</v>
      </c>
      <c r="P12" s="77">
        <v>2</v>
      </c>
      <c r="Q12" s="76">
        <v>2</v>
      </c>
      <c r="R12" s="205">
        <v>2</v>
      </c>
    </row>
    <row r="13" spans="1:18">
      <c r="B13" s="70"/>
      <c r="C13" s="75" t="s">
        <v>25</v>
      </c>
      <c r="D13" s="76">
        <v>2</v>
      </c>
      <c r="E13" s="76">
        <v>4</v>
      </c>
      <c r="F13" s="77">
        <v>4</v>
      </c>
      <c r="G13" s="76">
        <v>3</v>
      </c>
      <c r="H13" s="77">
        <v>3</v>
      </c>
      <c r="I13" s="76">
        <v>3</v>
      </c>
      <c r="J13" s="77">
        <v>3</v>
      </c>
      <c r="K13" s="76">
        <v>3</v>
      </c>
      <c r="L13" s="77">
        <v>3</v>
      </c>
      <c r="M13" s="76">
        <v>3</v>
      </c>
      <c r="N13" s="77">
        <v>3</v>
      </c>
      <c r="O13" s="76">
        <v>3</v>
      </c>
      <c r="P13" s="77">
        <v>3</v>
      </c>
      <c r="Q13" s="76">
        <v>3</v>
      </c>
      <c r="R13" s="205">
        <v>3</v>
      </c>
    </row>
    <row r="14" spans="1:18">
      <c r="B14" s="70"/>
      <c r="C14" s="75" t="s">
        <v>26</v>
      </c>
      <c r="D14" s="76">
        <v>96</v>
      </c>
      <c r="E14" s="76">
        <v>128</v>
      </c>
      <c r="F14" s="77">
        <v>128</v>
      </c>
      <c r="G14" s="76">
        <v>84</v>
      </c>
      <c r="H14" s="77">
        <v>84</v>
      </c>
      <c r="I14" s="76">
        <v>60</v>
      </c>
      <c r="J14" s="77">
        <v>60</v>
      </c>
      <c r="K14" s="76">
        <v>48</v>
      </c>
      <c r="L14" s="77">
        <v>48</v>
      </c>
      <c r="M14" s="76">
        <v>40</v>
      </c>
      <c r="N14" s="77">
        <v>40</v>
      </c>
      <c r="O14" s="76">
        <v>40</v>
      </c>
      <c r="P14" s="77">
        <v>40</v>
      </c>
      <c r="Q14" s="76">
        <v>64</v>
      </c>
      <c r="R14" s="205">
        <v>64</v>
      </c>
    </row>
    <row r="15" spans="1:18">
      <c r="B15" s="70"/>
      <c r="C15" s="75" t="s">
        <v>27</v>
      </c>
      <c r="D15" s="76">
        <v>108</v>
      </c>
      <c r="E15" s="76">
        <v>64</v>
      </c>
      <c r="F15" s="77">
        <v>64</v>
      </c>
      <c r="G15" s="76">
        <v>56</v>
      </c>
      <c r="H15" s="77">
        <v>56</v>
      </c>
      <c r="I15" s="76">
        <v>40</v>
      </c>
      <c r="J15" s="77">
        <v>40</v>
      </c>
      <c r="K15" s="76">
        <v>32</v>
      </c>
      <c r="L15" s="77">
        <v>32</v>
      </c>
      <c r="M15" s="76">
        <v>30</v>
      </c>
      <c r="N15" s="77">
        <v>30</v>
      </c>
      <c r="O15" s="76">
        <v>30</v>
      </c>
      <c r="P15" s="77">
        <v>30</v>
      </c>
      <c r="Q15" s="76">
        <v>48</v>
      </c>
      <c r="R15" s="205">
        <v>48</v>
      </c>
    </row>
    <row r="16" spans="1:18" s="62" customFormat="1">
      <c r="A16" s="78"/>
      <c r="B16" s="16"/>
      <c r="C16" s="79" t="s">
        <v>28</v>
      </c>
      <c r="D16" s="80">
        <v>2.5</v>
      </c>
      <c r="E16" s="80">
        <v>3.90625</v>
      </c>
      <c r="F16" s="81">
        <v>3.90625</v>
      </c>
      <c r="G16" s="80">
        <v>5.95</v>
      </c>
      <c r="H16" s="81">
        <v>5.95</v>
      </c>
      <c r="I16" s="80">
        <v>8.33</v>
      </c>
      <c r="J16" s="81">
        <v>8.33</v>
      </c>
      <c r="K16" s="80">
        <v>10.416700000000001</v>
      </c>
      <c r="L16" s="81">
        <v>10.416700000000001</v>
      </c>
      <c r="M16" s="80">
        <v>10</v>
      </c>
      <c r="N16" s="81">
        <v>10</v>
      </c>
      <c r="O16" s="80">
        <v>10</v>
      </c>
      <c r="P16" s="81">
        <v>10</v>
      </c>
      <c r="Q16" s="80">
        <v>6.25</v>
      </c>
      <c r="R16" s="206">
        <v>6.25</v>
      </c>
    </row>
    <row r="17" spans="1:18">
      <c r="B17" s="16"/>
      <c r="C17" s="23" t="s">
        <v>29</v>
      </c>
      <c r="D17" s="82" t="str">
        <f>D14&amp;"x"&amp;D15</f>
        <v>96x108</v>
      </c>
      <c r="E17" s="82" t="str">
        <f t="shared" ref="E17:J17" si="0">E14&amp;"x"&amp;E15</f>
        <v>128x64</v>
      </c>
      <c r="F17" s="15" t="str">
        <f t="shared" si="0"/>
        <v>128x64</v>
      </c>
      <c r="G17" s="82" t="str">
        <f t="shared" si="0"/>
        <v>84x56</v>
      </c>
      <c r="H17" s="15" t="str">
        <f t="shared" si="0"/>
        <v>84x56</v>
      </c>
      <c r="I17" s="82" t="str">
        <f t="shared" si="0"/>
        <v>60x40</v>
      </c>
      <c r="J17" s="15" t="str">
        <f t="shared" si="0"/>
        <v>60x40</v>
      </c>
      <c r="K17" s="82" t="str">
        <f t="shared" ref="K17:L17" si="1">K14&amp;"x"&amp;K15</f>
        <v>48x32</v>
      </c>
      <c r="L17" s="15" t="str">
        <f t="shared" si="1"/>
        <v>48x32</v>
      </c>
      <c r="M17" s="82" t="str">
        <f t="shared" ref="M17:N17" si="2">M14&amp;"x"&amp;M15</f>
        <v>40x30</v>
      </c>
      <c r="N17" s="15" t="str">
        <f t="shared" si="2"/>
        <v>40x30</v>
      </c>
      <c r="O17" s="82" t="str">
        <f t="shared" ref="O17:P17" si="3">O14&amp;"x"&amp;O15</f>
        <v>40x30</v>
      </c>
      <c r="P17" s="15" t="str">
        <f t="shared" si="3"/>
        <v>40x30</v>
      </c>
      <c r="Q17" s="82" t="str">
        <f t="shared" ref="Q17:R17" si="4">Q14&amp;"x"&amp;Q15</f>
        <v>64x48</v>
      </c>
      <c r="R17" s="148" t="str">
        <f t="shared" si="4"/>
        <v>64x48</v>
      </c>
    </row>
    <row r="18" spans="1:18">
      <c r="B18" s="16"/>
      <c r="C18" s="17" t="s">
        <v>30</v>
      </c>
      <c r="D18" s="83" t="s">
        <v>144</v>
      </c>
      <c r="E18" s="83" t="s">
        <v>31</v>
      </c>
      <c r="F18" s="12" t="s">
        <v>31</v>
      </c>
      <c r="G18" s="83" t="s">
        <v>32</v>
      </c>
      <c r="H18" s="12" t="s">
        <v>32</v>
      </c>
      <c r="I18" s="83" t="s">
        <v>32</v>
      </c>
      <c r="J18" s="12" t="s">
        <v>32</v>
      </c>
      <c r="K18" s="83" t="s">
        <v>32</v>
      </c>
      <c r="L18" s="12" t="s">
        <v>32</v>
      </c>
      <c r="M18" s="83" t="s">
        <v>33</v>
      </c>
      <c r="N18" s="12" t="s">
        <v>33</v>
      </c>
      <c r="O18" s="83" t="s">
        <v>33</v>
      </c>
      <c r="P18" s="12" t="s">
        <v>33</v>
      </c>
      <c r="Q18" s="83" t="s">
        <v>33</v>
      </c>
      <c r="R18" s="56" t="s">
        <v>33</v>
      </c>
    </row>
    <row r="19" spans="1:18">
      <c r="B19" s="16"/>
      <c r="C19" s="17" t="s">
        <v>34</v>
      </c>
      <c r="D19" s="84">
        <v>2.2999999999999998</v>
      </c>
      <c r="E19" s="84">
        <v>1.8</v>
      </c>
      <c r="F19" s="85">
        <v>1.8</v>
      </c>
      <c r="G19" s="178">
        <v>2.1</v>
      </c>
      <c r="H19" s="179">
        <v>2.1</v>
      </c>
      <c r="I19" s="178">
        <v>2.1</v>
      </c>
      <c r="J19" s="179">
        <v>2.1</v>
      </c>
      <c r="K19" s="178">
        <v>2.1</v>
      </c>
      <c r="L19" s="179">
        <v>2.1</v>
      </c>
      <c r="M19" s="178">
        <v>1.65</v>
      </c>
      <c r="N19" s="179">
        <v>1.65</v>
      </c>
      <c r="O19" s="178">
        <v>1.65</v>
      </c>
      <c r="P19" s="179">
        <v>1.65</v>
      </c>
      <c r="Q19" s="178">
        <v>1.65</v>
      </c>
      <c r="R19" s="207">
        <v>1.65</v>
      </c>
    </row>
    <row r="20" spans="1:18">
      <c r="B20" s="16"/>
      <c r="C20" s="25" t="s">
        <v>35</v>
      </c>
      <c r="D20" s="86" t="s">
        <v>14</v>
      </c>
      <c r="E20" s="86" t="s">
        <v>14</v>
      </c>
      <c r="F20" s="87" t="s">
        <v>14</v>
      </c>
      <c r="G20" s="180" t="s">
        <v>14</v>
      </c>
      <c r="H20" s="181" t="s">
        <v>14</v>
      </c>
      <c r="I20" s="180" t="s">
        <v>14</v>
      </c>
      <c r="J20" s="181" t="s">
        <v>14</v>
      </c>
      <c r="K20" s="180" t="s">
        <v>14</v>
      </c>
      <c r="L20" s="181" t="s">
        <v>14</v>
      </c>
      <c r="M20" s="180" t="s">
        <v>14</v>
      </c>
      <c r="N20" s="181" t="s">
        <v>14</v>
      </c>
      <c r="O20" s="180" t="s">
        <v>14</v>
      </c>
      <c r="P20" s="181" t="s">
        <v>14</v>
      </c>
      <c r="Q20" s="180" t="s">
        <v>14</v>
      </c>
      <c r="R20" s="208" t="s">
        <v>14</v>
      </c>
    </row>
    <row r="21" spans="1:18">
      <c r="B21" s="16"/>
      <c r="C21" s="23" t="s">
        <v>36</v>
      </c>
      <c r="D21" s="82" t="s">
        <v>145</v>
      </c>
      <c r="E21" s="82" t="s">
        <v>37</v>
      </c>
      <c r="F21" s="15" t="s">
        <v>37</v>
      </c>
      <c r="G21" s="182" t="s">
        <v>38</v>
      </c>
      <c r="H21" s="97" t="s">
        <v>38</v>
      </c>
      <c r="I21" s="182" t="s">
        <v>38</v>
      </c>
      <c r="J21" s="97" t="s">
        <v>38</v>
      </c>
      <c r="K21" s="182" t="s">
        <v>38</v>
      </c>
      <c r="L21" s="97" t="s">
        <v>38</v>
      </c>
      <c r="M21" s="182" t="s">
        <v>39</v>
      </c>
      <c r="N21" s="97" t="s">
        <v>39</v>
      </c>
      <c r="O21" s="182" t="s">
        <v>38</v>
      </c>
      <c r="P21" s="97" t="s">
        <v>38</v>
      </c>
      <c r="Q21" s="182" t="s">
        <v>38</v>
      </c>
      <c r="R21" s="209" t="s">
        <v>38</v>
      </c>
    </row>
    <row r="22" spans="1:18">
      <c r="B22" s="16"/>
      <c r="C22" s="23" t="s">
        <v>40</v>
      </c>
      <c r="D22" s="83" t="str">
        <f>D12*D14&amp;"x"&amp;D13*D15</f>
        <v>192x216</v>
      </c>
      <c r="E22" s="83" t="str">
        <f t="shared" ref="E22:J22" si="5">E12*E14&amp;"x"&amp;E13*E15</f>
        <v>256x256</v>
      </c>
      <c r="F22" s="12" t="str">
        <f t="shared" si="5"/>
        <v>256x256</v>
      </c>
      <c r="G22" s="183" t="str">
        <f t="shared" si="5"/>
        <v>168x168</v>
      </c>
      <c r="H22" s="96" t="str">
        <f t="shared" si="5"/>
        <v>168x168</v>
      </c>
      <c r="I22" s="183" t="str">
        <f t="shared" si="5"/>
        <v>120x120</v>
      </c>
      <c r="J22" s="96" t="str">
        <f t="shared" si="5"/>
        <v>120x120</v>
      </c>
      <c r="K22" s="183" t="str">
        <f t="shared" ref="K22:L22" si="6">K12*K14&amp;"x"&amp;K13*K15</f>
        <v>96x96</v>
      </c>
      <c r="L22" s="96" t="str">
        <f t="shared" si="6"/>
        <v>96x96</v>
      </c>
      <c r="M22" s="183" t="str">
        <f t="shared" ref="M22:N22" si="7">M12*M14&amp;"x"&amp;M13*M15</f>
        <v>160x90</v>
      </c>
      <c r="N22" s="96" t="str">
        <f t="shared" si="7"/>
        <v>160x90</v>
      </c>
      <c r="O22" s="183" t="str">
        <f t="shared" ref="O22:P22" si="8">O12*O14&amp;"x"&amp;O13*O15</f>
        <v>80x90</v>
      </c>
      <c r="P22" s="96" t="str">
        <f t="shared" si="8"/>
        <v>80x90</v>
      </c>
      <c r="Q22" s="183" t="str">
        <f t="shared" ref="Q22:R22" si="9">Q12*Q14&amp;"x"&amp;Q13*Q15</f>
        <v>128x144</v>
      </c>
      <c r="R22" s="210" t="str">
        <f t="shared" si="9"/>
        <v>128x144</v>
      </c>
    </row>
    <row r="23" spans="1:18">
      <c r="B23" s="16"/>
      <c r="C23" s="23" t="s">
        <v>41</v>
      </c>
      <c r="D23" s="82" t="str">
        <f>ROUND(D14*D16*D12,0)&amp;"x"&amp;ROUND(D15*D16*D13,0)&amp;"x"&amp;"120"</f>
        <v>480x540x120</v>
      </c>
      <c r="E23" s="82" t="str">
        <f>ROUND(E14*E16*E12,0)&amp;"x"&amp;ROUND(E15*E16*E13,0)&amp;"x"&amp;"120"</f>
        <v>1000x1000x120</v>
      </c>
      <c r="F23" s="15" t="str">
        <f>ROUND(F14*F16*F12,0)&amp;"x"&amp;ROUND(F15*F16*F13,0)&amp;"x"&amp;"120"</f>
        <v>1000x1000x120</v>
      </c>
      <c r="G23" s="183" t="s">
        <v>138</v>
      </c>
      <c r="H23" s="96" t="s">
        <v>138</v>
      </c>
      <c r="I23" s="183" t="s">
        <v>138</v>
      </c>
      <c r="J23" s="96" t="s">
        <v>139</v>
      </c>
      <c r="K23" s="183" t="s">
        <v>138</v>
      </c>
      <c r="L23" s="96" t="s">
        <v>138</v>
      </c>
      <c r="M23" s="182" t="str">
        <f t="shared" ref="M23:N23" si="10">ROUND(M14*M16*M12,0)&amp;"x"&amp;ROUND(M15*M16*M13,0)&amp;"x"&amp;"114"</f>
        <v>1600x900x114</v>
      </c>
      <c r="N23" s="97" t="str">
        <f t="shared" si="10"/>
        <v>1600x900x114</v>
      </c>
      <c r="O23" s="182" t="str">
        <f t="shared" ref="O23:P23" si="11">ROUND(O14*O16*O12,0)&amp;"x"&amp;ROUND(O15*O16*O13,0)&amp;"x"&amp;"130"</f>
        <v>800x900x130</v>
      </c>
      <c r="P23" s="97" t="str">
        <f t="shared" si="11"/>
        <v>800x900x130</v>
      </c>
      <c r="Q23" s="182" t="str">
        <f>ROUND(Q14*Q16*Q12,0)&amp;"x"&amp;ROUND(Q15*Q16*Q13,0)&amp;"x"&amp;"130"</f>
        <v>800x900x130</v>
      </c>
      <c r="R23" s="209" t="str">
        <f t="shared" ref="R23" si="12">ROUND(R14*R16*R12,0)&amp;"x"&amp;ROUND(R15*R16*R13,0)&amp;"x"&amp;"130"</f>
        <v>800x900x130</v>
      </c>
    </row>
    <row r="24" spans="1:18">
      <c r="B24" s="16"/>
      <c r="C24" s="17" t="s">
        <v>42</v>
      </c>
      <c r="D24" s="163">
        <v>0.25919999999999999</v>
      </c>
      <c r="E24" s="80">
        <v>1</v>
      </c>
      <c r="F24" s="81">
        <v>1</v>
      </c>
      <c r="G24" s="184">
        <v>1</v>
      </c>
      <c r="H24" s="185">
        <v>1</v>
      </c>
      <c r="I24" s="184">
        <v>1</v>
      </c>
      <c r="J24" s="185">
        <v>1</v>
      </c>
      <c r="K24" s="184">
        <v>1</v>
      </c>
      <c r="L24" s="185">
        <v>1</v>
      </c>
      <c r="M24" s="184">
        <v>1.44</v>
      </c>
      <c r="N24" s="185">
        <v>1.44</v>
      </c>
      <c r="O24" s="184">
        <f t="shared" ref="O24:P24" si="13">0.8*0.9</f>
        <v>0.72000000000000008</v>
      </c>
      <c r="P24" s="185">
        <f t="shared" si="13"/>
        <v>0.72000000000000008</v>
      </c>
      <c r="Q24" s="211">
        <f>0.8*0.9</f>
        <v>0.72000000000000008</v>
      </c>
      <c r="R24" s="212">
        <f t="shared" ref="R24" si="14">0.8*0.9</f>
        <v>0.72000000000000008</v>
      </c>
    </row>
    <row r="25" spans="1:18" s="63" customFormat="1">
      <c r="A25" s="88"/>
      <c r="B25" s="16"/>
      <c r="C25" s="17" t="s">
        <v>43</v>
      </c>
      <c r="D25" s="89">
        <v>9.5</v>
      </c>
      <c r="E25" s="89">
        <v>31</v>
      </c>
      <c r="F25" s="90">
        <v>31</v>
      </c>
      <c r="G25" s="186">
        <v>29.5</v>
      </c>
      <c r="H25" s="187">
        <v>29.5</v>
      </c>
      <c r="I25" s="186">
        <v>29.5</v>
      </c>
      <c r="J25" s="187">
        <v>29.5</v>
      </c>
      <c r="K25" s="186">
        <v>29.5</v>
      </c>
      <c r="L25" s="187">
        <v>29.5</v>
      </c>
      <c r="M25" s="186">
        <v>55</v>
      </c>
      <c r="N25" s="187">
        <v>55</v>
      </c>
      <c r="O25" s="186">
        <v>33</v>
      </c>
      <c r="P25" s="187">
        <v>33</v>
      </c>
      <c r="Q25" s="186">
        <v>33</v>
      </c>
      <c r="R25" s="213">
        <v>33</v>
      </c>
    </row>
    <row r="26" spans="1:18">
      <c r="B26" s="16"/>
      <c r="C26" s="17" t="s">
        <v>44</v>
      </c>
      <c r="D26" s="83">
        <v>41472</v>
      </c>
      <c r="E26" s="83">
        <v>65536</v>
      </c>
      <c r="F26" s="12">
        <v>65536</v>
      </c>
      <c r="G26" s="183">
        <v>28224</v>
      </c>
      <c r="H26" s="96">
        <v>28224</v>
      </c>
      <c r="I26" s="183">
        <v>14400</v>
      </c>
      <c r="J26" s="96">
        <v>14400</v>
      </c>
      <c r="K26" s="183">
        <v>9216</v>
      </c>
      <c r="L26" s="96">
        <v>9216</v>
      </c>
      <c r="M26" s="83">
        <v>14400</v>
      </c>
      <c r="N26" s="12">
        <v>14400</v>
      </c>
      <c r="O26" s="83">
        <v>14400</v>
      </c>
      <c r="P26" s="12">
        <v>14400</v>
      </c>
      <c r="Q26" s="83">
        <v>14400</v>
      </c>
      <c r="R26" s="56">
        <v>14400</v>
      </c>
    </row>
    <row r="27" spans="1:18">
      <c r="B27" s="16"/>
      <c r="C27" s="17" t="s">
        <v>45</v>
      </c>
      <c r="D27" s="91" t="s">
        <v>46</v>
      </c>
      <c r="E27" s="91" t="s">
        <v>46</v>
      </c>
      <c r="F27" s="14" t="s">
        <v>46</v>
      </c>
      <c r="G27" s="188" t="s">
        <v>46</v>
      </c>
      <c r="H27" s="189" t="s">
        <v>46</v>
      </c>
      <c r="I27" s="188" t="s">
        <v>46</v>
      </c>
      <c r="J27" s="189" t="s">
        <v>46</v>
      </c>
      <c r="K27" s="188" t="s">
        <v>46</v>
      </c>
      <c r="L27" s="189" t="s">
        <v>46</v>
      </c>
      <c r="M27" s="91" t="s">
        <v>46</v>
      </c>
      <c r="N27" s="14" t="s">
        <v>46</v>
      </c>
      <c r="O27" s="91" t="s">
        <v>46</v>
      </c>
      <c r="P27" s="14" t="s">
        <v>46</v>
      </c>
      <c r="Q27" s="91" t="s">
        <v>46</v>
      </c>
      <c r="R27" s="147" t="s">
        <v>46</v>
      </c>
    </row>
    <row r="28" spans="1:18">
      <c r="B28" s="16"/>
      <c r="C28" s="17" t="s">
        <v>47</v>
      </c>
      <c r="D28" s="82" t="s">
        <v>48</v>
      </c>
      <c r="E28" s="82" t="s">
        <v>48</v>
      </c>
      <c r="F28" s="15" t="s">
        <v>48</v>
      </c>
      <c r="G28" s="82" t="s">
        <v>48</v>
      </c>
      <c r="H28" s="15" t="s">
        <v>48</v>
      </c>
      <c r="I28" s="82" t="s">
        <v>48</v>
      </c>
      <c r="J28" s="15" t="s">
        <v>48</v>
      </c>
      <c r="K28" s="82" t="s">
        <v>48</v>
      </c>
      <c r="L28" s="15" t="s">
        <v>48</v>
      </c>
      <c r="M28" s="82" t="s">
        <v>48</v>
      </c>
      <c r="N28" s="15" t="s">
        <v>48</v>
      </c>
      <c r="O28" s="82" t="s">
        <v>48</v>
      </c>
      <c r="P28" s="15" t="s">
        <v>48</v>
      </c>
      <c r="Q28" s="82" t="s">
        <v>48</v>
      </c>
      <c r="R28" s="148" t="s">
        <v>48</v>
      </c>
    </row>
    <row r="29" spans="1:18" ht="46.05" customHeight="1">
      <c r="B29" s="27"/>
      <c r="C29" s="28" t="s">
        <v>49</v>
      </c>
      <c r="D29" s="16" t="s">
        <v>50</v>
      </c>
      <c r="E29" s="16" t="s">
        <v>51</v>
      </c>
      <c r="F29" s="26" t="s">
        <v>51</v>
      </c>
      <c r="G29" s="16" t="s">
        <v>51</v>
      </c>
      <c r="H29" s="26" t="s">
        <v>51</v>
      </c>
      <c r="I29" s="16" t="s">
        <v>51</v>
      </c>
      <c r="J29" s="26" t="s">
        <v>51</v>
      </c>
      <c r="K29" s="16" t="s">
        <v>51</v>
      </c>
      <c r="L29" s="26" t="s">
        <v>51</v>
      </c>
      <c r="M29" s="16" t="s">
        <v>52</v>
      </c>
      <c r="N29" s="26" t="s">
        <v>52</v>
      </c>
      <c r="O29" s="16" t="s">
        <v>52</v>
      </c>
      <c r="P29" s="26" t="s">
        <v>52</v>
      </c>
      <c r="Q29" s="16" t="s">
        <v>52</v>
      </c>
      <c r="R29" s="154" t="s">
        <v>52</v>
      </c>
    </row>
    <row r="30" spans="1:18" ht="13.15" thickBot="1">
      <c r="B30" s="18"/>
      <c r="C30" s="19" t="s">
        <v>53</v>
      </c>
      <c r="D30" s="92" t="s">
        <v>54</v>
      </c>
      <c r="E30" s="92" t="s">
        <v>54</v>
      </c>
      <c r="F30" s="20" t="s">
        <v>54</v>
      </c>
      <c r="G30" s="92" t="s">
        <v>54</v>
      </c>
      <c r="H30" s="20" t="s">
        <v>54</v>
      </c>
      <c r="I30" s="92" t="s">
        <v>54</v>
      </c>
      <c r="J30" s="20" t="s">
        <v>54</v>
      </c>
      <c r="K30" s="92" t="s">
        <v>54</v>
      </c>
      <c r="L30" s="20" t="s">
        <v>54</v>
      </c>
      <c r="M30" s="92" t="s">
        <v>54</v>
      </c>
      <c r="N30" s="20" t="s">
        <v>54</v>
      </c>
      <c r="O30" s="92" t="s">
        <v>55</v>
      </c>
      <c r="P30" s="20" t="s">
        <v>55</v>
      </c>
      <c r="Q30" s="92" t="s">
        <v>55</v>
      </c>
      <c r="R30" s="151" t="s">
        <v>55</v>
      </c>
    </row>
    <row r="31" spans="1:18">
      <c r="B31" s="265" t="s">
        <v>56</v>
      </c>
      <c r="C31" s="21" t="s">
        <v>57</v>
      </c>
      <c r="D31" s="93">
        <v>3000</v>
      </c>
      <c r="E31" s="93">
        <v>7000</v>
      </c>
      <c r="F31" s="95">
        <v>5000</v>
      </c>
      <c r="G31" s="190">
        <v>10000</v>
      </c>
      <c r="H31" s="94">
        <v>7500</v>
      </c>
      <c r="I31" s="190">
        <v>10000</v>
      </c>
      <c r="J31" s="94">
        <v>7500</v>
      </c>
      <c r="K31" s="190">
        <v>10000</v>
      </c>
      <c r="L31" s="94">
        <v>7500</v>
      </c>
      <c r="M31" s="190">
        <v>7500</v>
      </c>
      <c r="N31" s="94">
        <v>6000</v>
      </c>
      <c r="O31" s="190">
        <v>10000</v>
      </c>
      <c r="P31" s="94">
        <v>7500</v>
      </c>
      <c r="Q31" s="190">
        <v>10000</v>
      </c>
      <c r="R31" s="214">
        <v>7500</v>
      </c>
    </row>
    <row r="32" spans="1:18">
      <c r="B32" s="266"/>
      <c r="C32" s="17" t="s">
        <v>58</v>
      </c>
      <c r="D32" s="83" t="s">
        <v>146</v>
      </c>
      <c r="E32" s="83" t="s">
        <v>59</v>
      </c>
      <c r="F32" s="12" t="s">
        <v>59</v>
      </c>
      <c r="G32" s="83" t="s">
        <v>59</v>
      </c>
      <c r="H32" s="12" t="s">
        <v>59</v>
      </c>
      <c r="I32" s="83" t="s">
        <v>59</v>
      </c>
      <c r="J32" s="12" t="s">
        <v>59</v>
      </c>
      <c r="K32" s="83" t="s">
        <v>59</v>
      </c>
      <c r="L32" s="12" t="s">
        <v>59</v>
      </c>
      <c r="M32" s="83" t="s">
        <v>59</v>
      </c>
      <c r="N32" s="12" t="s">
        <v>59</v>
      </c>
      <c r="O32" s="83" t="s">
        <v>59</v>
      </c>
      <c r="P32" s="12" t="s">
        <v>59</v>
      </c>
      <c r="Q32" s="83" t="s">
        <v>59</v>
      </c>
      <c r="R32" s="56" t="s">
        <v>59</v>
      </c>
    </row>
    <row r="33" spans="1:20">
      <c r="B33" s="266"/>
      <c r="C33" s="17" t="s">
        <v>60</v>
      </c>
      <c r="D33" s="83" t="s">
        <v>61</v>
      </c>
      <c r="E33" s="83" t="s">
        <v>61</v>
      </c>
      <c r="F33" s="12" t="s">
        <v>61</v>
      </c>
      <c r="G33" s="83" t="s">
        <v>61</v>
      </c>
      <c r="H33" s="12" t="s">
        <v>61</v>
      </c>
      <c r="I33" s="83" t="s">
        <v>61</v>
      </c>
      <c r="J33" s="12" t="s">
        <v>61</v>
      </c>
      <c r="K33" s="83" t="s">
        <v>61</v>
      </c>
      <c r="L33" s="12" t="s">
        <v>61</v>
      </c>
      <c r="M33" s="83" t="s">
        <v>61</v>
      </c>
      <c r="N33" s="12" t="s">
        <v>61</v>
      </c>
      <c r="O33" s="83" t="s">
        <v>61</v>
      </c>
      <c r="P33" s="12" t="s">
        <v>61</v>
      </c>
      <c r="Q33" s="83" t="s">
        <v>61</v>
      </c>
      <c r="R33" s="56" t="s">
        <v>61</v>
      </c>
    </row>
    <row r="34" spans="1:20">
      <c r="B34" s="266"/>
      <c r="C34" s="17" t="s">
        <v>62</v>
      </c>
      <c r="D34" s="83" t="s">
        <v>61</v>
      </c>
      <c r="E34" s="82" t="s">
        <v>61</v>
      </c>
      <c r="F34" s="15" t="s">
        <v>61</v>
      </c>
      <c r="G34" s="82" t="s">
        <v>63</v>
      </c>
      <c r="H34" s="15" t="s">
        <v>63</v>
      </c>
      <c r="I34" s="82" t="s">
        <v>63</v>
      </c>
      <c r="J34" s="15" t="s">
        <v>63</v>
      </c>
      <c r="K34" s="82" t="s">
        <v>63</v>
      </c>
      <c r="L34" s="15" t="s">
        <v>63</v>
      </c>
      <c r="M34" s="82" t="s">
        <v>64</v>
      </c>
      <c r="N34" s="15" t="s">
        <v>64</v>
      </c>
      <c r="O34" s="82" t="s">
        <v>65</v>
      </c>
      <c r="P34" s="15" t="s">
        <v>65</v>
      </c>
      <c r="Q34" s="82" t="s">
        <v>65</v>
      </c>
      <c r="R34" s="148" t="s">
        <v>65</v>
      </c>
    </row>
    <row r="35" spans="1:20" s="2" customFormat="1">
      <c r="A35" s="13"/>
      <c r="B35" s="266"/>
      <c r="C35" s="98" t="s">
        <v>66</v>
      </c>
      <c r="D35" s="82" t="s">
        <v>67</v>
      </c>
      <c r="E35" s="82" t="s">
        <v>67</v>
      </c>
      <c r="F35" s="15" t="s">
        <v>67</v>
      </c>
      <c r="G35" s="82" t="s">
        <v>67</v>
      </c>
      <c r="H35" s="15" t="s">
        <v>67</v>
      </c>
      <c r="I35" s="82" t="s">
        <v>67</v>
      </c>
      <c r="J35" s="15" t="s">
        <v>67</v>
      </c>
      <c r="K35" s="82" t="s">
        <v>67</v>
      </c>
      <c r="L35" s="15" t="s">
        <v>67</v>
      </c>
      <c r="M35" s="82" t="s">
        <v>67</v>
      </c>
      <c r="N35" s="15" t="s">
        <v>67</v>
      </c>
      <c r="O35" s="82" t="s">
        <v>67</v>
      </c>
      <c r="P35" s="15" t="s">
        <v>67</v>
      </c>
      <c r="Q35" s="82" t="s">
        <v>67</v>
      </c>
      <c r="R35" s="148" t="s">
        <v>67</v>
      </c>
    </row>
    <row r="36" spans="1:20" s="2" customFormat="1">
      <c r="A36" s="13"/>
      <c r="B36" s="266"/>
      <c r="C36" s="98" t="s">
        <v>68</v>
      </c>
      <c r="D36" s="82" t="s">
        <v>67</v>
      </c>
      <c r="E36" s="82" t="s">
        <v>67</v>
      </c>
      <c r="F36" s="15" t="s">
        <v>67</v>
      </c>
      <c r="G36" s="82" t="s">
        <v>69</v>
      </c>
      <c r="H36" s="15" t="s">
        <v>69</v>
      </c>
      <c r="I36" s="82" t="s">
        <v>70</v>
      </c>
      <c r="J36" s="15" t="s">
        <v>70</v>
      </c>
      <c r="K36" s="82" t="s">
        <v>71</v>
      </c>
      <c r="L36" s="15" t="s">
        <v>71</v>
      </c>
      <c r="M36" s="82" t="s">
        <v>72</v>
      </c>
      <c r="N36" s="15" t="s">
        <v>72</v>
      </c>
      <c r="O36" s="82" t="s">
        <v>73</v>
      </c>
      <c r="P36" s="15" t="s">
        <v>73</v>
      </c>
      <c r="Q36" s="82" t="s">
        <v>73</v>
      </c>
      <c r="R36" s="148" t="s">
        <v>73</v>
      </c>
    </row>
    <row r="37" spans="1:20">
      <c r="B37" s="266"/>
      <c r="C37" s="17" t="s">
        <v>74</v>
      </c>
      <c r="D37" s="83" t="s">
        <v>75</v>
      </c>
      <c r="E37" s="83" t="s">
        <v>75</v>
      </c>
      <c r="F37" s="12" t="s">
        <v>75</v>
      </c>
      <c r="G37" s="83" t="s">
        <v>75</v>
      </c>
      <c r="H37" s="12" t="s">
        <v>75</v>
      </c>
      <c r="I37" s="83" t="s">
        <v>75</v>
      </c>
      <c r="J37" s="12" t="s">
        <v>75</v>
      </c>
      <c r="K37" s="83" t="s">
        <v>75</v>
      </c>
      <c r="L37" s="12" t="s">
        <v>75</v>
      </c>
      <c r="M37" s="83" t="s">
        <v>75</v>
      </c>
      <c r="N37" s="12" t="s">
        <v>75</v>
      </c>
      <c r="O37" s="83" t="s">
        <v>75</v>
      </c>
      <c r="P37" s="12" t="s">
        <v>75</v>
      </c>
      <c r="Q37" s="83" t="s">
        <v>75</v>
      </c>
      <c r="R37" s="56" t="s">
        <v>75</v>
      </c>
    </row>
    <row r="38" spans="1:20">
      <c r="B38" s="266"/>
      <c r="C38" s="17" t="s">
        <v>76</v>
      </c>
      <c r="D38" s="83" t="s">
        <v>77</v>
      </c>
      <c r="E38" s="83" t="s">
        <v>77</v>
      </c>
      <c r="F38" s="12" t="s">
        <v>77</v>
      </c>
      <c r="G38" s="83" t="s">
        <v>77</v>
      </c>
      <c r="H38" s="12" t="s">
        <v>77</v>
      </c>
      <c r="I38" s="83" t="s">
        <v>77</v>
      </c>
      <c r="J38" s="12" t="s">
        <v>77</v>
      </c>
      <c r="K38" s="83" t="s">
        <v>77</v>
      </c>
      <c r="L38" s="12" t="s">
        <v>77</v>
      </c>
      <c r="M38" s="83" t="s">
        <v>77</v>
      </c>
      <c r="N38" s="12" t="s">
        <v>77</v>
      </c>
      <c r="O38" s="83" t="s">
        <v>77</v>
      </c>
      <c r="P38" s="12" t="s">
        <v>77</v>
      </c>
      <c r="Q38" s="83" t="s">
        <v>77</v>
      </c>
      <c r="R38" s="56" t="s">
        <v>77</v>
      </c>
    </row>
    <row r="39" spans="1:20" s="64" customFormat="1" ht="14.25">
      <c r="A39" s="99"/>
      <c r="B39" s="266"/>
      <c r="C39" s="100" t="s">
        <v>78</v>
      </c>
      <c r="D39" s="101" t="s">
        <v>79</v>
      </c>
      <c r="E39" s="101" t="s">
        <v>79</v>
      </c>
      <c r="F39" s="102" t="s">
        <v>80</v>
      </c>
      <c r="G39" s="101" t="s">
        <v>81</v>
      </c>
      <c r="H39" s="102" t="s">
        <v>81</v>
      </c>
      <c r="I39" s="101" t="s">
        <v>82</v>
      </c>
      <c r="J39" s="102" t="s">
        <v>82</v>
      </c>
      <c r="K39" s="101" t="s">
        <v>80</v>
      </c>
      <c r="L39" s="102" t="s">
        <v>80</v>
      </c>
      <c r="M39" s="101" t="s">
        <v>80</v>
      </c>
      <c r="N39" s="102" t="s">
        <v>83</v>
      </c>
      <c r="O39" s="101" t="s">
        <v>80</v>
      </c>
      <c r="P39" s="102" t="s">
        <v>80</v>
      </c>
      <c r="Q39" s="101" t="s">
        <v>81</v>
      </c>
      <c r="R39" s="215" t="s">
        <v>81</v>
      </c>
      <c r="S39" s="65"/>
      <c r="T39" s="65"/>
    </row>
    <row r="40" spans="1:20" ht="13.15" thickBot="1">
      <c r="B40" s="267"/>
      <c r="C40" s="19" t="s">
        <v>84</v>
      </c>
      <c r="D40" s="92">
        <v>16</v>
      </c>
      <c r="E40" s="92">
        <v>16</v>
      </c>
      <c r="F40" s="20">
        <v>16</v>
      </c>
      <c r="G40" s="92">
        <v>16</v>
      </c>
      <c r="H40" s="20">
        <v>16</v>
      </c>
      <c r="I40" s="92">
        <v>16</v>
      </c>
      <c r="J40" s="20">
        <v>16</v>
      </c>
      <c r="K40" s="92">
        <v>16</v>
      </c>
      <c r="L40" s="20">
        <v>16</v>
      </c>
      <c r="M40" s="92">
        <v>16</v>
      </c>
      <c r="N40" s="20">
        <v>16</v>
      </c>
      <c r="O40" s="92">
        <v>16</v>
      </c>
      <c r="P40" s="20">
        <v>16</v>
      </c>
      <c r="Q40" s="92">
        <v>16</v>
      </c>
      <c r="R40" s="151">
        <v>16</v>
      </c>
    </row>
    <row r="41" spans="1:20">
      <c r="B41" s="268"/>
      <c r="C41" s="17" t="s">
        <v>85</v>
      </c>
      <c r="D41" s="83">
        <v>150</v>
      </c>
      <c r="E41" s="183">
        <v>650</v>
      </c>
      <c r="F41" s="12">
        <v>650</v>
      </c>
      <c r="G41" s="83">
        <v>650</v>
      </c>
      <c r="H41" s="12">
        <v>650</v>
      </c>
      <c r="I41" s="83">
        <v>650</v>
      </c>
      <c r="J41" s="12">
        <v>650</v>
      </c>
      <c r="K41" s="83">
        <v>650</v>
      </c>
      <c r="L41" s="12">
        <v>650</v>
      </c>
      <c r="M41" s="83">
        <v>680</v>
      </c>
      <c r="N41" s="12">
        <v>770</v>
      </c>
      <c r="O41" s="83">
        <v>460</v>
      </c>
      <c r="P41" s="12">
        <v>460</v>
      </c>
      <c r="Q41" s="83">
        <v>460</v>
      </c>
      <c r="R41" s="56">
        <v>460</v>
      </c>
    </row>
    <row r="42" spans="1:20">
      <c r="B42" s="266"/>
      <c r="C42" s="23" t="s">
        <v>86</v>
      </c>
      <c r="D42" s="83">
        <f>D41*0.4</f>
        <v>60</v>
      </c>
      <c r="E42" s="183">
        <f>E41*0.4</f>
        <v>260</v>
      </c>
      <c r="F42" s="12">
        <f t="shared" ref="F42:R42" si="15">F41*0.4</f>
        <v>260</v>
      </c>
      <c r="G42" s="83">
        <f t="shared" si="15"/>
        <v>260</v>
      </c>
      <c r="H42" s="12">
        <f t="shared" si="15"/>
        <v>260</v>
      </c>
      <c r="I42" s="83">
        <f t="shared" si="15"/>
        <v>260</v>
      </c>
      <c r="J42" s="12">
        <f t="shared" si="15"/>
        <v>260</v>
      </c>
      <c r="K42" s="83">
        <f t="shared" si="15"/>
        <v>260</v>
      </c>
      <c r="L42" s="12">
        <f t="shared" si="15"/>
        <v>260</v>
      </c>
      <c r="M42" s="83">
        <f t="shared" si="15"/>
        <v>272</v>
      </c>
      <c r="N42" s="12">
        <f t="shared" si="15"/>
        <v>308</v>
      </c>
      <c r="O42" s="83">
        <f t="shared" ref="O42:P42" si="16">O41*0.4</f>
        <v>184</v>
      </c>
      <c r="P42" s="12">
        <f t="shared" si="16"/>
        <v>184</v>
      </c>
      <c r="Q42" s="83">
        <f t="shared" si="15"/>
        <v>184</v>
      </c>
      <c r="R42" s="56">
        <f t="shared" si="15"/>
        <v>184</v>
      </c>
    </row>
    <row r="43" spans="1:20">
      <c r="B43" s="266"/>
      <c r="C43" s="23" t="s">
        <v>87</v>
      </c>
      <c r="D43" s="83">
        <f>D41/D24</f>
        <v>578.7037037037037</v>
      </c>
      <c r="E43" s="183">
        <f>E41/E24</f>
        <v>650</v>
      </c>
      <c r="F43" s="12">
        <f t="shared" ref="F43:R43" si="17">F41/F24</f>
        <v>650</v>
      </c>
      <c r="G43" s="83">
        <f t="shared" si="17"/>
        <v>650</v>
      </c>
      <c r="H43" s="12">
        <f t="shared" si="17"/>
        <v>650</v>
      </c>
      <c r="I43" s="83">
        <f t="shared" si="17"/>
        <v>650</v>
      </c>
      <c r="J43" s="12">
        <f t="shared" si="17"/>
        <v>650</v>
      </c>
      <c r="K43" s="83">
        <f t="shared" si="17"/>
        <v>650</v>
      </c>
      <c r="L43" s="12">
        <f t="shared" si="17"/>
        <v>650</v>
      </c>
      <c r="M43" s="83">
        <f t="shared" si="17"/>
        <v>472.22222222222223</v>
      </c>
      <c r="N43" s="12">
        <f t="shared" si="17"/>
        <v>534.72222222222229</v>
      </c>
      <c r="O43" s="83">
        <f t="shared" ref="O43:P43" si="18">O41/O24</f>
        <v>638.8888888888888</v>
      </c>
      <c r="P43" s="12">
        <f t="shared" si="18"/>
        <v>638.8888888888888</v>
      </c>
      <c r="Q43" s="83">
        <f t="shared" si="17"/>
        <v>638.8888888888888</v>
      </c>
      <c r="R43" s="56">
        <f t="shared" si="17"/>
        <v>638.8888888888888</v>
      </c>
    </row>
    <row r="44" spans="1:20">
      <c r="B44" s="266"/>
      <c r="C44" s="17" t="s">
        <v>88</v>
      </c>
      <c r="D44" s="83" t="s">
        <v>89</v>
      </c>
      <c r="E44" s="83" t="s">
        <v>89</v>
      </c>
      <c r="F44" s="12" t="s">
        <v>89</v>
      </c>
      <c r="G44" s="83" t="s">
        <v>89</v>
      </c>
      <c r="H44" s="12" t="s">
        <v>89</v>
      </c>
      <c r="I44" s="83" t="s">
        <v>89</v>
      </c>
      <c r="J44" s="12" t="s">
        <v>89</v>
      </c>
      <c r="K44" s="83" t="s">
        <v>89</v>
      </c>
      <c r="L44" s="12" t="s">
        <v>89</v>
      </c>
      <c r="M44" s="83" t="s">
        <v>89</v>
      </c>
      <c r="N44" s="12" t="s">
        <v>89</v>
      </c>
      <c r="O44" s="83" t="s">
        <v>89</v>
      </c>
      <c r="P44" s="12" t="s">
        <v>89</v>
      </c>
      <c r="Q44" s="83" t="s">
        <v>89</v>
      </c>
      <c r="R44" s="56" t="s">
        <v>89</v>
      </c>
    </row>
    <row r="45" spans="1:20">
      <c r="B45" s="266"/>
      <c r="C45" s="17" t="s">
        <v>90</v>
      </c>
      <c r="D45" s="83" t="s">
        <v>91</v>
      </c>
      <c r="E45" s="83" t="s">
        <v>91</v>
      </c>
      <c r="F45" s="12" t="s">
        <v>91</v>
      </c>
      <c r="G45" s="83" t="s">
        <v>91</v>
      </c>
      <c r="H45" s="12" t="s">
        <v>91</v>
      </c>
      <c r="I45" s="83" t="s">
        <v>91</v>
      </c>
      <c r="J45" s="12" t="s">
        <v>91</v>
      </c>
      <c r="K45" s="83" t="s">
        <v>91</v>
      </c>
      <c r="L45" s="12" t="s">
        <v>91</v>
      </c>
      <c r="M45" s="83" t="s">
        <v>91</v>
      </c>
      <c r="N45" s="12" t="s">
        <v>91</v>
      </c>
      <c r="O45" s="83" t="s">
        <v>91</v>
      </c>
      <c r="P45" s="12" t="s">
        <v>91</v>
      </c>
      <c r="Q45" s="83" t="s">
        <v>91</v>
      </c>
      <c r="R45" s="56" t="s">
        <v>91</v>
      </c>
    </row>
    <row r="46" spans="1:20" s="65" customFormat="1" ht="14.65" thickBot="1">
      <c r="A46" s="104"/>
      <c r="B46" s="266"/>
      <c r="C46" s="105" t="s">
        <v>92</v>
      </c>
      <c r="D46" s="202" t="s">
        <v>93</v>
      </c>
      <c r="E46" s="106" t="s">
        <v>93</v>
      </c>
      <c r="F46" s="103" t="s">
        <v>93</v>
      </c>
      <c r="G46" s="191" t="s">
        <v>94</v>
      </c>
      <c r="H46" s="192" t="s">
        <v>94</v>
      </c>
      <c r="I46" s="191" t="s">
        <v>94</v>
      </c>
      <c r="J46" s="192" t="s">
        <v>94</v>
      </c>
      <c r="K46" s="191" t="s">
        <v>94</v>
      </c>
      <c r="L46" s="192" t="s">
        <v>94</v>
      </c>
      <c r="M46" s="191" t="s">
        <v>94</v>
      </c>
      <c r="N46" s="192" t="s">
        <v>94</v>
      </c>
      <c r="O46" s="191" t="s">
        <v>94</v>
      </c>
      <c r="P46" s="192" t="s">
        <v>94</v>
      </c>
      <c r="Q46" s="191" t="s">
        <v>94</v>
      </c>
      <c r="R46" s="221" t="s">
        <v>94</v>
      </c>
    </row>
    <row r="47" spans="1:20">
      <c r="B47" s="269" t="s">
        <v>95</v>
      </c>
      <c r="C47" s="21" t="s">
        <v>96</v>
      </c>
      <c r="D47" s="107">
        <v>100000</v>
      </c>
      <c r="E47" s="107">
        <v>100000</v>
      </c>
      <c r="F47" s="22">
        <v>100000</v>
      </c>
      <c r="G47" s="107">
        <v>100000</v>
      </c>
      <c r="H47" s="22">
        <v>100000</v>
      </c>
      <c r="I47" s="107">
        <v>100000</v>
      </c>
      <c r="J47" s="22">
        <v>100000</v>
      </c>
      <c r="K47" s="107">
        <v>100000</v>
      </c>
      <c r="L47" s="22">
        <v>100000</v>
      </c>
      <c r="M47" s="107">
        <v>100000</v>
      </c>
      <c r="N47" s="22">
        <v>100000</v>
      </c>
      <c r="O47" s="107">
        <v>100000</v>
      </c>
      <c r="P47" s="22">
        <v>100000</v>
      </c>
      <c r="Q47" s="107">
        <v>100000</v>
      </c>
      <c r="R47" s="152">
        <v>100000</v>
      </c>
    </row>
    <row r="48" spans="1:20">
      <c r="B48" s="270"/>
      <c r="C48" s="17" t="s">
        <v>97</v>
      </c>
      <c r="D48" s="111" t="s">
        <v>147</v>
      </c>
      <c r="E48" s="111" t="s">
        <v>98</v>
      </c>
      <c r="F48" s="112" t="s">
        <v>98</v>
      </c>
      <c r="G48" s="111" t="s">
        <v>98</v>
      </c>
      <c r="H48" s="112" t="s">
        <v>98</v>
      </c>
      <c r="I48" s="111" t="s">
        <v>98</v>
      </c>
      <c r="J48" s="112" t="s">
        <v>98</v>
      </c>
      <c r="K48" s="111" t="s">
        <v>98</v>
      </c>
      <c r="L48" s="112" t="s">
        <v>98</v>
      </c>
      <c r="M48" s="111" t="s">
        <v>98</v>
      </c>
      <c r="N48" s="112" t="s">
        <v>98</v>
      </c>
      <c r="O48" s="111" t="s">
        <v>98</v>
      </c>
      <c r="P48" s="112" t="s">
        <v>98</v>
      </c>
      <c r="Q48" s="111" t="s">
        <v>98</v>
      </c>
      <c r="R48" s="113" t="s">
        <v>98</v>
      </c>
    </row>
    <row r="49" spans="1:18" s="5" customFormat="1" ht="25.5">
      <c r="A49" s="24"/>
      <c r="B49" s="270"/>
      <c r="C49" s="25" t="s">
        <v>99</v>
      </c>
      <c r="D49" s="16" t="s">
        <v>100</v>
      </c>
      <c r="E49" s="16" t="s">
        <v>100</v>
      </c>
      <c r="F49" s="26" t="s">
        <v>100</v>
      </c>
      <c r="G49" s="16" t="s">
        <v>100</v>
      </c>
      <c r="H49" s="26" t="s">
        <v>100</v>
      </c>
      <c r="I49" s="16" t="s">
        <v>100</v>
      </c>
      <c r="J49" s="26" t="s">
        <v>100</v>
      </c>
      <c r="K49" s="16" t="s">
        <v>100</v>
      </c>
      <c r="L49" s="26" t="s">
        <v>100</v>
      </c>
      <c r="M49" s="16" t="s">
        <v>100</v>
      </c>
      <c r="N49" s="26" t="s">
        <v>100</v>
      </c>
      <c r="O49" s="16" t="s">
        <v>143</v>
      </c>
      <c r="P49" s="26" t="s">
        <v>100</v>
      </c>
      <c r="Q49" s="16" t="s">
        <v>100</v>
      </c>
      <c r="R49" s="154" t="s">
        <v>100</v>
      </c>
    </row>
    <row r="50" spans="1:18" s="2" customFormat="1">
      <c r="A50" s="13"/>
      <c r="B50" s="270"/>
      <c r="C50" s="98" t="s">
        <v>101</v>
      </c>
      <c r="D50" s="182" t="s">
        <v>102</v>
      </c>
      <c r="E50" s="82" t="s">
        <v>102</v>
      </c>
      <c r="F50" s="15" t="s">
        <v>102</v>
      </c>
      <c r="G50" s="182" t="s">
        <v>102</v>
      </c>
      <c r="H50" s="97" t="s">
        <v>102</v>
      </c>
      <c r="I50" s="182" t="s">
        <v>102</v>
      </c>
      <c r="J50" s="97" t="s">
        <v>102</v>
      </c>
      <c r="K50" s="182" t="s">
        <v>102</v>
      </c>
      <c r="L50" s="97" t="s">
        <v>102</v>
      </c>
      <c r="M50" s="182" t="s">
        <v>102</v>
      </c>
      <c r="N50" s="97" t="s">
        <v>102</v>
      </c>
      <c r="O50" s="182" t="s">
        <v>102</v>
      </c>
      <c r="P50" s="97" t="s">
        <v>102</v>
      </c>
      <c r="Q50" s="182" t="s">
        <v>102</v>
      </c>
      <c r="R50" s="209" t="s">
        <v>102</v>
      </c>
    </row>
    <row r="51" spans="1:18" s="2" customFormat="1" ht="13.15" thickBot="1">
      <c r="A51" s="13"/>
      <c r="B51" s="271"/>
      <c r="C51" s="108" t="s">
        <v>103</v>
      </c>
      <c r="D51" s="193" t="s">
        <v>102</v>
      </c>
      <c r="E51" s="109" t="s">
        <v>102</v>
      </c>
      <c r="F51" s="110" t="s">
        <v>102</v>
      </c>
      <c r="G51" s="193" t="s">
        <v>102</v>
      </c>
      <c r="H51" s="194" t="s">
        <v>102</v>
      </c>
      <c r="I51" s="193" t="s">
        <v>102</v>
      </c>
      <c r="J51" s="194" t="s">
        <v>102</v>
      </c>
      <c r="K51" s="193" t="s">
        <v>102</v>
      </c>
      <c r="L51" s="194" t="s">
        <v>102</v>
      </c>
      <c r="M51" s="193" t="s">
        <v>102</v>
      </c>
      <c r="N51" s="194" t="s">
        <v>102</v>
      </c>
      <c r="O51" s="193" t="s">
        <v>102</v>
      </c>
      <c r="P51" s="194" t="s">
        <v>102</v>
      </c>
      <c r="Q51" s="193" t="s">
        <v>102</v>
      </c>
      <c r="R51" s="222" t="s">
        <v>102</v>
      </c>
    </row>
    <row r="52" spans="1:18" ht="13.15" thickTop="1">
      <c r="D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</row>
    <row r="53" spans="1:18" ht="13.5" thickBot="1">
      <c r="B53" s="272" t="s">
        <v>149</v>
      </c>
      <c r="C53" s="272"/>
      <c r="D53" s="216"/>
    </row>
    <row r="54" spans="1:18" s="123" customFormat="1" ht="13.5" thickBot="1">
      <c r="A54" s="122"/>
      <c r="B54" s="273" t="s">
        <v>126</v>
      </c>
      <c r="C54" s="274"/>
      <c r="D54" s="275">
        <v>1012</v>
      </c>
      <c r="E54" s="275">
        <v>1693</v>
      </c>
      <c r="F54" s="276">
        <v>2270</v>
      </c>
      <c r="G54" s="276">
        <v>1894</v>
      </c>
      <c r="H54" s="276">
        <v>1253</v>
      </c>
      <c r="I54" s="276">
        <v>1413</v>
      </c>
      <c r="J54" s="276">
        <v>1035</v>
      </c>
      <c r="K54" s="276">
        <v>1127</v>
      </c>
      <c r="L54" s="276">
        <v>897</v>
      </c>
      <c r="M54" s="276">
        <v>2166</v>
      </c>
      <c r="N54" s="276">
        <v>1854</v>
      </c>
      <c r="O54" s="276">
        <v>925</v>
      </c>
      <c r="P54" s="276">
        <v>761</v>
      </c>
      <c r="Q54" s="277">
        <v>1537</v>
      </c>
      <c r="R54" s="277">
        <v>1077</v>
      </c>
    </row>
    <row r="55" spans="1:18" s="123" customFormat="1" ht="13.5" thickBot="1">
      <c r="A55" s="122"/>
      <c r="B55" s="273" t="s">
        <v>127</v>
      </c>
      <c r="C55" s="274"/>
      <c r="D55" s="278">
        <f>D54/D24</f>
        <v>3904.320987654321</v>
      </c>
      <c r="E55" s="278">
        <f>E54/E24</f>
        <v>1693</v>
      </c>
      <c r="F55" s="278">
        <f t="shared" ref="F55:R55" si="19">F54/F24</f>
        <v>2270</v>
      </c>
      <c r="G55" s="278">
        <f t="shared" si="19"/>
        <v>1894</v>
      </c>
      <c r="H55" s="278">
        <f t="shared" si="19"/>
        <v>1253</v>
      </c>
      <c r="I55" s="278">
        <f t="shared" si="19"/>
        <v>1413</v>
      </c>
      <c r="J55" s="278">
        <f t="shared" si="19"/>
        <v>1035</v>
      </c>
      <c r="K55" s="278">
        <f t="shared" si="19"/>
        <v>1127</v>
      </c>
      <c r="L55" s="278">
        <f t="shared" si="19"/>
        <v>897</v>
      </c>
      <c r="M55" s="278">
        <f t="shared" si="19"/>
        <v>1504.1666666666667</v>
      </c>
      <c r="N55" s="278">
        <f t="shared" si="19"/>
        <v>1287.5</v>
      </c>
      <c r="O55" s="278">
        <f t="shared" si="19"/>
        <v>1284.7222222222222</v>
      </c>
      <c r="P55" s="278">
        <f t="shared" si="19"/>
        <v>1056.9444444444443</v>
      </c>
      <c r="Q55" s="278">
        <f t="shared" si="19"/>
        <v>2134.7222222222222</v>
      </c>
      <c r="R55" s="278">
        <f t="shared" si="19"/>
        <v>1495.8333333333333</v>
      </c>
    </row>
    <row r="56" spans="1:18" ht="13.5" thickBot="1">
      <c r="B56" s="279" t="s">
        <v>156</v>
      </c>
      <c r="C56" s="280"/>
      <c r="D56" s="281">
        <f>D55/10.7639</f>
        <v>362.72363991251507</v>
      </c>
      <c r="E56" s="281">
        <f>E55/10.7639</f>
        <v>157.28499893161401</v>
      </c>
      <c r="F56" s="281">
        <f t="shared" ref="F56:R56" si="20">F55/10.7639</f>
        <v>210.89010488763367</v>
      </c>
      <c r="G56" s="281">
        <f t="shared" si="20"/>
        <v>175.95852804280977</v>
      </c>
      <c r="H56" s="281">
        <f t="shared" si="20"/>
        <v>116.40762177277753</v>
      </c>
      <c r="I56" s="281">
        <f t="shared" si="20"/>
        <v>131.27212255780898</v>
      </c>
      <c r="J56" s="281">
        <f t="shared" si="20"/>
        <v>96.154739453172184</v>
      </c>
      <c r="K56" s="281">
        <f t="shared" si="20"/>
        <v>104.70182740456526</v>
      </c>
      <c r="L56" s="281">
        <f t="shared" si="20"/>
        <v>83.334107526082562</v>
      </c>
      <c r="M56" s="281">
        <f t="shared" si="20"/>
        <v>139.74179123428002</v>
      </c>
      <c r="N56" s="281">
        <f t="shared" si="20"/>
        <v>119.61277975454993</v>
      </c>
      <c r="O56" s="281">
        <f t="shared" si="20"/>
        <v>119.3547155048098</v>
      </c>
      <c r="P56" s="281">
        <f t="shared" si="20"/>
        <v>98.193447026119188</v>
      </c>
      <c r="Q56" s="281">
        <f t="shared" si="20"/>
        <v>198.32237592528938</v>
      </c>
      <c r="R56" s="281">
        <f t="shared" si="20"/>
        <v>138.96759848505963</v>
      </c>
    </row>
    <row r="58" spans="1:18" ht="13.15">
      <c r="B58" s="3" t="s">
        <v>163</v>
      </c>
      <c r="C58" s="3"/>
      <c r="D58" s="217">
        <f>D56*1.1</f>
        <v>398.99600390376662</v>
      </c>
      <c r="E58" s="217">
        <f t="shared" ref="E58:R58" si="21">E56*1.1</f>
        <v>173.01349882477544</v>
      </c>
      <c r="F58" s="217">
        <f t="shared" si="21"/>
        <v>231.97911537639706</v>
      </c>
      <c r="G58" s="217">
        <f t="shared" si="21"/>
        <v>193.55438084709075</v>
      </c>
      <c r="H58" s="217">
        <f t="shared" si="21"/>
        <v>128.0483839500553</v>
      </c>
      <c r="I58" s="217">
        <f t="shared" si="21"/>
        <v>144.39933481358989</v>
      </c>
      <c r="J58" s="217">
        <f t="shared" si="21"/>
        <v>105.77021339848942</v>
      </c>
      <c r="K58" s="217">
        <f t="shared" si="21"/>
        <v>115.1720101450218</v>
      </c>
      <c r="L58" s="217">
        <f t="shared" si="21"/>
        <v>91.667518278690821</v>
      </c>
      <c r="M58" s="217">
        <f t="shared" si="21"/>
        <v>153.71597035770802</v>
      </c>
      <c r="N58" s="217">
        <f t="shared" si="21"/>
        <v>131.57405773000494</v>
      </c>
      <c r="O58" s="217">
        <f t="shared" si="21"/>
        <v>131.2901870552908</v>
      </c>
      <c r="P58" s="217">
        <f t="shared" si="21"/>
        <v>108.01279172873112</v>
      </c>
      <c r="Q58" s="217">
        <f t="shared" si="21"/>
        <v>218.15461351781835</v>
      </c>
      <c r="R58" s="217">
        <f t="shared" si="21"/>
        <v>152.8643583335656</v>
      </c>
    </row>
    <row r="59" spans="1:18" ht="13.15">
      <c r="B59" s="3" t="s">
        <v>162</v>
      </c>
      <c r="C59" s="3"/>
      <c r="D59" s="216">
        <f>D58*1.05</f>
        <v>418.94580409895497</v>
      </c>
      <c r="E59" s="216">
        <f t="shared" ref="E59:R59" si="22">E58*1.05</f>
        <v>181.66417376601422</v>
      </c>
      <c r="F59" s="216">
        <f t="shared" si="22"/>
        <v>243.57807114521694</v>
      </c>
      <c r="G59" s="216">
        <f t="shared" si="22"/>
        <v>203.23209988944529</v>
      </c>
      <c r="H59" s="216">
        <f t="shared" si="22"/>
        <v>134.45080314755808</v>
      </c>
      <c r="I59" s="216">
        <f t="shared" si="22"/>
        <v>151.61930155426938</v>
      </c>
      <c r="J59" s="216">
        <f t="shared" si="22"/>
        <v>111.05872406841389</v>
      </c>
      <c r="K59" s="216">
        <f t="shared" si="22"/>
        <v>120.93061065227289</v>
      </c>
      <c r="L59" s="216">
        <f t="shared" si="22"/>
        <v>96.250894192625367</v>
      </c>
      <c r="M59" s="216">
        <f t="shared" si="22"/>
        <v>161.40176887559343</v>
      </c>
      <c r="N59" s="216">
        <f t="shared" si="22"/>
        <v>138.15276061650519</v>
      </c>
      <c r="O59" s="216">
        <f t="shared" si="22"/>
        <v>137.85469640805536</v>
      </c>
      <c r="P59" s="216">
        <f t="shared" si="22"/>
        <v>113.41343131516767</v>
      </c>
      <c r="Q59" s="216">
        <f t="shared" si="22"/>
        <v>229.06234419370927</v>
      </c>
      <c r="R59" s="216">
        <f t="shared" si="22"/>
        <v>160.50757625024389</v>
      </c>
    </row>
    <row r="60" spans="1:18" ht="13.15">
      <c r="B60" s="282" t="s">
        <v>161</v>
      </c>
      <c r="C60" s="282"/>
      <c r="D60" s="283">
        <f>D59*1.28</f>
        <v>536.25062924666236</v>
      </c>
      <c r="E60" s="283">
        <f t="shared" ref="E60:R60" si="23">E59*1.28</f>
        <v>232.53014242049821</v>
      </c>
      <c r="F60" s="283">
        <f t="shared" si="23"/>
        <v>311.77993106587769</v>
      </c>
      <c r="G60" s="283">
        <f t="shared" si="23"/>
        <v>260.13708785848996</v>
      </c>
      <c r="H60" s="283">
        <f t="shared" si="23"/>
        <v>172.09702802887435</v>
      </c>
      <c r="I60" s="283">
        <f t="shared" si="23"/>
        <v>194.07270598946482</v>
      </c>
      <c r="J60" s="283">
        <f t="shared" si="23"/>
        <v>142.1551668075698</v>
      </c>
      <c r="K60" s="283">
        <f t="shared" si="23"/>
        <v>154.79118163490929</v>
      </c>
      <c r="L60" s="283">
        <f t="shared" si="23"/>
        <v>123.20114456656047</v>
      </c>
      <c r="M60" s="283">
        <f t="shared" si="23"/>
        <v>206.59426416075959</v>
      </c>
      <c r="N60" s="283">
        <f t="shared" si="23"/>
        <v>176.83553358912664</v>
      </c>
      <c r="O60" s="283">
        <f t="shared" si="23"/>
        <v>176.45401140231087</v>
      </c>
      <c r="P60" s="283">
        <f t="shared" si="23"/>
        <v>145.16919208341463</v>
      </c>
      <c r="Q60" s="283">
        <f t="shared" si="23"/>
        <v>293.19980056794788</v>
      </c>
      <c r="R60" s="283">
        <f t="shared" si="23"/>
        <v>205.44969760031219</v>
      </c>
    </row>
    <row r="61" spans="1:18">
      <c r="C61" s="4" t="s">
        <v>164</v>
      </c>
      <c r="D61" s="288">
        <f>480/24.5/12</f>
        <v>1.6326530612244898</v>
      </c>
      <c r="E61" s="288">
        <f>1000/24.5/12</f>
        <v>3.4013605442176869</v>
      </c>
      <c r="F61" s="288">
        <f>1000/24.5/12</f>
        <v>3.4013605442176869</v>
      </c>
      <c r="G61" s="288">
        <f>1000/24.5/12</f>
        <v>3.4013605442176869</v>
      </c>
      <c r="H61" s="288">
        <f>1000/24.5/12</f>
        <v>3.4013605442176869</v>
      </c>
      <c r="I61" s="288">
        <f>1000/24.5/12</f>
        <v>3.4013605442176869</v>
      </c>
      <c r="J61" s="288">
        <f>1000/24.5/12</f>
        <v>3.4013605442176869</v>
      </c>
      <c r="K61" s="288">
        <f>1000/24.5/12</f>
        <v>3.4013605442176869</v>
      </c>
      <c r="L61" s="288">
        <f>1000/24.5/12</f>
        <v>3.4013605442176869</v>
      </c>
      <c r="M61" s="288">
        <f>1600/24.5/12</f>
        <v>5.4421768707482991</v>
      </c>
      <c r="N61" s="288">
        <f>1600/24.5/12</f>
        <v>5.4421768707482991</v>
      </c>
      <c r="O61" s="288">
        <f t="shared" ref="O61:R61" si="24">800/24.5/12</f>
        <v>2.7210884353741496</v>
      </c>
      <c r="P61" s="288">
        <f t="shared" si="24"/>
        <v>2.7210884353741496</v>
      </c>
      <c r="Q61" s="288">
        <f t="shared" si="24"/>
        <v>2.7210884353741496</v>
      </c>
      <c r="R61" s="288">
        <f t="shared" si="24"/>
        <v>2.7210884353741496</v>
      </c>
    </row>
    <row r="62" spans="1:18">
      <c r="C62" s="4" t="s">
        <v>165</v>
      </c>
      <c r="D62" s="288">
        <f>540/24.5/12</f>
        <v>1.8367346938775511</v>
      </c>
      <c r="E62" s="288">
        <f>1000/24.5/12</f>
        <v>3.4013605442176869</v>
      </c>
      <c r="F62" s="288">
        <f>1000/24.5/12</f>
        <v>3.4013605442176869</v>
      </c>
      <c r="G62" s="288">
        <f>1000/24.5/12</f>
        <v>3.4013605442176869</v>
      </c>
      <c r="H62" s="288">
        <f>1000/24.5/12</f>
        <v>3.4013605442176869</v>
      </c>
      <c r="I62" s="288">
        <f>1000/24.5/12</f>
        <v>3.4013605442176869</v>
      </c>
      <c r="J62" s="288">
        <f>1000/24.5/12</f>
        <v>3.4013605442176869</v>
      </c>
      <c r="K62" s="288">
        <f>1000/24.5/12</f>
        <v>3.4013605442176869</v>
      </c>
      <c r="L62" s="288">
        <f>1000/24.5/12</f>
        <v>3.4013605442176869</v>
      </c>
      <c r="M62" s="288">
        <f>900/24.5/12</f>
        <v>3.0612244897959187</v>
      </c>
      <c r="N62" s="288">
        <f>900/24.5/12</f>
        <v>3.0612244897959187</v>
      </c>
      <c r="O62" s="288">
        <f t="shared" ref="O62:R62" si="25">900/24.5/12</f>
        <v>3.0612244897959187</v>
      </c>
      <c r="P62" s="288">
        <f t="shared" si="25"/>
        <v>3.0612244897959187</v>
      </c>
      <c r="Q62" s="288">
        <f t="shared" si="25"/>
        <v>3.0612244897959187</v>
      </c>
      <c r="R62" s="288">
        <f t="shared" si="25"/>
        <v>3.0612244897959187</v>
      </c>
    </row>
    <row r="63" spans="1:18" s="37" customFormat="1">
      <c r="A63" s="40"/>
      <c r="C63" s="4" t="s">
        <v>168</v>
      </c>
      <c r="D63" s="289">
        <f>D61/D12</f>
        <v>0.81632653061224492</v>
      </c>
      <c r="E63" s="289">
        <f t="shared" ref="E63:R63" si="26">E61/E12</f>
        <v>1.7006802721088434</v>
      </c>
      <c r="F63" s="289">
        <f t="shared" si="26"/>
        <v>1.7006802721088434</v>
      </c>
      <c r="G63" s="289">
        <f t="shared" si="26"/>
        <v>1.7006802721088434</v>
      </c>
      <c r="H63" s="289">
        <f t="shared" si="26"/>
        <v>1.7006802721088434</v>
      </c>
      <c r="I63" s="289">
        <f t="shared" si="26"/>
        <v>1.7006802721088434</v>
      </c>
      <c r="J63" s="289">
        <f t="shared" si="26"/>
        <v>1.7006802721088434</v>
      </c>
      <c r="K63" s="289">
        <f t="shared" si="26"/>
        <v>1.7006802721088434</v>
      </c>
      <c r="L63" s="289">
        <f t="shared" si="26"/>
        <v>1.7006802721088434</v>
      </c>
      <c r="M63" s="289">
        <f t="shared" si="26"/>
        <v>1.3605442176870748</v>
      </c>
      <c r="N63" s="289">
        <f t="shared" si="26"/>
        <v>1.3605442176870748</v>
      </c>
      <c r="O63" s="289">
        <f t="shared" si="26"/>
        <v>1.3605442176870748</v>
      </c>
      <c r="P63" s="289">
        <f t="shared" si="26"/>
        <v>1.3605442176870748</v>
      </c>
      <c r="Q63" s="289">
        <f t="shared" si="26"/>
        <v>1.3605442176870748</v>
      </c>
      <c r="R63" s="289">
        <f t="shared" si="26"/>
        <v>1.3605442176870748</v>
      </c>
    </row>
    <row r="64" spans="1:18" s="37" customFormat="1">
      <c r="A64" s="40"/>
      <c r="C64" s="4" t="s">
        <v>169</v>
      </c>
      <c r="D64" s="289">
        <f>D62/4</f>
        <v>0.45918367346938777</v>
      </c>
      <c r="E64" s="289">
        <f t="shared" ref="E64:R64" si="27">E62/4</f>
        <v>0.85034013605442171</v>
      </c>
      <c r="F64" s="289">
        <f t="shared" si="27"/>
        <v>0.85034013605442171</v>
      </c>
      <c r="G64" s="289">
        <f t="shared" si="27"/>
        <v>0.85034013605442171</v>
      </c>
      <c r="H64" s="289">
        <f t="shared" si="27"/>
        <v>0.85034013605442171</v>
      </c>
      <c r="I64" s="289">
        <f t="shared" si="27"/>
        <v>0.85034013605442171</v>
      </c>
      <c r="J64" s="289">
        <f t="shared" si="27"/>
        <v>0.85034013605442171</v>
      </c>
      <c r="K64" s="289">
        <f t="shared" si="27"/>
        <v>0.85034013605442171</v>
      </c>
      <c r="L64" s="289">
        <f t="shared" si="27"/>
        <v>0.85034013605442171</v>
      </c>
      <c r="M64" s="289">
        <f t="shared" si="27"/>
        <v>0.76530612244897966</v>
      </c>
      <c r="N64" s="289">
        <f t="shared" si="27"/>
        <v>0.76530612244897966</v>
      </c>
      <c r="O64" s="289">
        <f t="shared" si="27"/>
        <v>0.76530612244897966</v>
      </c>
      <c r="P64" s="289">
        <f t="shared" si="27"/>
        <v>0.76530612244897966</v>
      </c>
      <c r="Q64" s="289">
        <f t="shared" si="27"/>
        <v>0.76530612244897966</v>
      </c>
      <c r="R64" s="289">
        <f t="shared" si="27"/>
        <v>0.76530612244897966</v>
      </c>
    </row>
    <row r="65" spans="2:18" ht="13.15">
      <c r="B65" s="282" t="s">
        <v>170</v>
      </c>
      <c r="C65" s="282"/>
      <c r="D65" s="283">
        <f>D60*1.1</f>
        <v>589.87569217132864</v>
      </c>
      <c r="E65" s="283">
        <f t="shared" ref="E65:R65" si="28">E60*1.1</f>
        <v>255.78315666254804</v>
      </c>
      <c r="F65" s="283">
        <f t="shared" si="28"/>
        <v>342.95792417246548</v>
      </c>
      <c r="G65" s="283">
        <f t="shared" si="28"/>
        <v>286.15079664433898</v>
      </c>
      <c r="H65" s="283">
        <f t="shared" si="28"/>
        <v>189.3067308317618</v>
      </c>
      <c r="I65" s="283">
        <f t="shared" si="28"/>
        <v>213.47997658841132</v>
      </c>
      <c r="J65" s="283">
        <f t="shared" si="28"/>
        <v>156.37068348832679</v>
      </c>
      <c r="K65" s="283">
        <f t="shared" si="28"/>
        <v>170.27029979840023</v>
      </c>
      <c r="L65" s="283">
        <f t="shared" si="28"/>
        <v>135.52125902321654</v>
      </c>
      <c r="M65" s="283">
        <f t="shared" si="28"/>
        <v>227.25369057683557</v>
      </c>
      <c r="N65" s="283">
        <f t="shared" si="28"/>
        <v>194.51908694803933</v>
      </c>
      <c r="O65" s="283">
        <f t="shared" si="28"/>
        <v>194.09941254254198</v>
      </c>
      <c r="P65" s="283">
        <f t="shared" si="28"/>
        <v>159.68611129175611</v>
      </c>
      <c r="Q65" s="283">
        <f>Q60*1.1</f>
        <v>322.51978062474268</v>
      </c>
      <c r="R65" s="283">
        <f t="shared" si="28"/>
        <v>225.99466736034344</v>
      </c>
    </row>
    <row r="66" spans="2:18" ht="13.15" thickBot="1"/>
    <row r="67" spans="2:18">
      <c r="M67" s="117" t="s">
        <v>128</v>
      </c>
      <c r="N67" s="118"/>
    </row>
    <row r="68" spans="2:18">
      <c r="M68" s="119" t="s">
        <v>129</v>
      </c>
    </row>
    <row r="69" spans="2:18">
      <c r="M69" s="119" t="s">
        <v>130</v>
      </c>
    </row>
    <row r="70" spans="2:18" ht="13.15" thickBot="1">
      <c r="M70" s="120" t="s">
        <v>131</v>
      </c>
      <c r="N70" s="121"/>
    </row>
    <row r="71" spans="2:18">
      <c r="D71" s="218"/>
      <c r="Q71" s="219"/>
    </row>
  </sheetData>
  <mergeCells count="35">
    <mergeCell ref="B31:B40"/>
    <mergeCell ref="B41:B46"/>
    <mergeCell ref="B47:B51"/>
    <mergeCell ref="B56:C56"/>
    <mergeCell ref="B53:C53"/>
    <mergeCell ref="B54:C54"/>
    <mergeCell ref="B55:C55"/>
    <mergeCell ref="E7:F7"/>
    <mergeCell ref="E6:F6"/>
    <mergeCell ref="G6:H6"/>
    <mergeCell ref="G7:H7"/>
    <mergeCell ref="I6:J6"/>
    <mergeCell ref="I7:J7"/>
    <mergeCell ref="E5:F5"/>
    <mergeCell ref="G5:H5"/>
    <mergeCell ref="I5:J5"/>
    <mergeCell ref="K5:L5"/>
    <mergeCell ref="O4:P4"/>
    <mergeCell ref="O5:P5"/>
    <mergeCell ref="B2:C2"/>
    <mergeCell ref="E4:F4"/>
    <mergeCell ref="G4:H4"/>
    <mergeCell ref="I4:J4"/>
    <mergeCell ref="K4:L4"/>
    <mergeCell ref="K6:L6"/>
    <mergeCell ref="M5:N5"/>
    <mergeCell ref="M4:N4"/>
    <mergeCell ref="M6:N6"/>
    <mergeCell ref="M7:N7"/>
    <mergeCell ref="Q4:R4"/>
    <mergeCell ref="Q5:R5"/>
    <mergeCell ref="Q6:R6"/>
    <mergeCell ref="Q7:R7"/>
    <mergeCell ref="O6:P6"/>
    <mergeCell ref="O7:P7"/>
  </mergeCells>
  <phoneticPr fontId="20" type="noConversion"/>
  <pageMargins left="0.23622047244094499" right="0.23622047244094499" top="0.23622047244094499" bottom="0.23622047244094499" header="0.31496062992126" footer="0.31496062992126"/>
  <pageSetup paperSize="9" scale="4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4"/>
  <sheetViews>
    <sheetView showGridLines="0" zoomScale="130" zoomScaleNormal="130" workbookViewId="0">
      <pane xSplit="3" ySplit="10" topLeftCell="D11" activePane="bottomRight" state="frozen"/>
      <selection pane="topRight"/>
      <selection pane="bottomLeft"/>
      <selection pane="bottomRight" activeCell="A62" sqref="A62:XFD64"/>
    </sheetView>
  </sheetViews>
  <sheetFormatPr defaultColWidth="9" defaultRowHeight="12.75"/>
  <cols>
    <col min="1" max="1" width="3.796875" style="40" customWidth="1"/>
    <col min="2" max="2" width="9.33203125" style="37" customWidth="1"/>
    <col min="3" max="3" width="42.6640625" style="37" customWidth="1"/>
    <col min="4" max="8" width="15.6640625" style="37" customWidth="1"/>
    <col min="9" max="10" width="15.6640625" style="4" customWidth="1"/>
    <col min="11" max="14" width="15.6640625" style="37" customWidth="1"/>
    <col min="15" max="16384" width="9" style="37"/>
  </cols>
  <sheetData>
    <row r="1" spans="1:14" ht="13.15">
      <c r="B1" s="41"/>
      <c r="C1" s="41"/>
    </row>
    <row r="2" spans="1:14" ht="13.15">
      <c r="B2" s="227" t="s">
        <v>160</v>
      </c>
      <c r="C2" s="227"/>
      <c r="D2" s="43"/>
      <c r="E2" s="43"/>
      <c r="F2" s="43"/>
      <c r="I2" s="6"/>
      <c r="J2" s="6"/>
    </row>
    <row r="3" spans="1:14" ht="13.5" thickBot="1">
      <c r="B3" s="42"/>
      <c r="C3" s="42"/>
    </row>
    <row r="4" spans="1:14" s="30" customFormat="1" ht="16.05" customHeight="1" thickBot="1">
      <c r="A4" s="44"/>
      <c r="B4" s="45"/>
      <c r="C4" s="46"/>
      <c r="D4" s="197" t="s">
        <v>158</v>
      </c>
      <c r="E4" s="228" t="s">
        <v>104</v>
      </c>
      <c r="F4" s="229"/>
      <c r="G4" s="230" t="s">
        <v>105</v>
      </c>
      <c r="H4" s="231"/>
      <c r="I4" s="230" t="s">
        <v>134</v>
      </c>
      <c r="J4" s="231"/>
      <c r="K4" s="230" t="s">
        <v>106</v>
      </c>
      <c r="L4" s="231"/>
      <c r="M4" s="230" t="s">
        <v>107</v>
      </c>
      <c r="N4" s="231"/>
    </row>
    <row r="5" spans="1:14" ht="15" customHeight="1" thickBot="1">
      <c r="B5" s="47"/>
      <c r="C5" s="48"/>
      <c r="D5" s="198" t="s">
        <v>157</v>
      </c>
      <c r="E5" s="234" t="s">
        <v>157</v>
      </c>
      <c r="F5" s="235"/>
      <c r="G5" s="232" t="s">
        <v>157</v>
      </c>
      <c r="H5" s="236"/>
      <c r="I5" s="232" t="s">
        <v>157</v>
      </c>
      <c r="J5" s="236"/>
      <c r="K5" s="232" t="s">
        <v>157</v>
      </c>
      <c r="L5" s="236"/>
      <c r="M5" s="232" t="s">
        <v>6</v>
      </c>
      <c r="N5" s="233"/>
    </row>
    <row r="6" spans="1:14" s="31" customFormat="1" ht="13.5" thickTop="1">
      <c r="A6" s="49"/>
      <c r="D6" s="144" t="s">
        <v>10</v>
      </c>
      <c r="E6" s="144" t="s">
        <v>10</v>
      </c>
      <c r="F6" s="145" t="s">
        <v>10</v>
      </c>
      <c r="G6" s="144" t="s">
        <v>108</v>
      </c>
      <c r="H6" s="145" t="s">
        <v>108</v>
      </c>
      <c r="I6" s="156" t="s">
        <v>135</v>
      </c>
      <c r="J6" s="157" t="s">
        <v>135</v>
      </c>
      <c r="K6" s="144" t="s">
        <v>13</v>
      </c>
      <c r="L6" s="145" t="s">
        <v>13</v>
      </c>
      <c r="M6" s="156" t="s">
        <v>13</v>
      </c>
      <c r="N6" s="157" t="s">
        <v>13</v>
      </c>
    </row>
    <row r="7" spans="1:14" ht="13.5" thickBot="1">
      <c r="B7" s="226" t="s">
        <v>153</v>
      </c>
      <c r="D7" s="115" t="s">
        <v>14</v>
      </c>
      <c r="E7" s="115" t="s">
        <v>14</v>
      </c>
      <c r="F7" s="225" t="s">
        <v>14</v>
      </c>
      <c r="G7" s="115" t="s">
        <v>14</v>
      </c>
      <c r="H7" s="225" t="s">
        <v>14</v>
      </c>
      <c r="I7" s="115" t="s">
        <v>14</v>
      </c>
      <c r="J7" s="225" t="s">
        <v>14</v>
      </c>
      <c r="K7" s="115" t="s">
        <v>14</v>
      </c>
      <c r="L7" s="225" t="s">
        <v>14</v>
      </c>
      <c r="M7" s="115" t="s">
        <v>14</v>
      </c>
      <c r="N7" s="225" t="s">
        <v>14</v>
      </c>
    </row>
    <row r="8" spans="1:14" ht="13.15" thickTop="1">
      <c r="B8" s="237" t="s">
        <v>15</v>
      </c>
      <c r="C8" s="124" t="s">
        <v>16</v>
      </c>
      <c r="D8" s="68" t="s">
        <v>152</v>
      </c>
      <c r="E8" s="158" t="s">
        <v>18</v>
      </c>
      <c r="F8" s="159" t="s">
        <v>18</v>
      </c>
      <c r="G8" s="158" t="s">
        <v>18</v>
      </c>
      <c r="H8" s="159" t="s">
        <v>18</v>
      </c>
      <c r="I8" s="158" t="s">
        <v>18</v>
      </c>
      <c r="J8" s="159" t="s">
        <v>18</v>
      </c>
      <c r="K8" s="158" t="s">
        <v>18</v>
      </c>
      <c r="L8" s="159" t="s">
        <v>18</v>
      </c>
      <c r="M8" s="158" t="s">
        <v>18</v>
      </c>
      <c r="N8" s="159" t="s">
        <v>18</v>
      </c>
    </row>
    <row r="9" spans="1:14" s="32" customFormat="1">
      <c r="A9" s="50"/>
      <c r="B9" s="238"/>
      <c r="C9" s="125" t="s">
        <v>19</v>
      </c>
      <c r="D9" s="72" t="s">
        <v>151</v>
      </c>
      <c r="E9" s="160" t="s">
        <v>109</v>
      </c>
      <c r="F9" s="161" t="s">
        <v>154</v>
      </c>
      <c r="G9" s="160" t="s">
        <v>109</v>
      </c>
      <c r="H9" s="161" t="s">
        <v>154</v>
      </c>
      <c r="I9" s="160" t="s">
        <v>109</v>
      </c>
      <c r="J9" s="161" t="s">
        <v>154</v>
      </c>
      <c r="K9" s="160" t="s">
        <v>109</v>
      </c>
      <c r="L9" s="161" t="s">
        <v>154</v>
      </c>
      <c r="M9" s="160" t="s">
        <v>109</v>
      </c>
      <c r="N9" s="161" t="s">
        <v>154</v>
      </c>
    </row>
    <row r="10" spans="1:14">
      <c r="B10" s="238"/>
      <c r="C10" s="126" t="s">
        <v>22</v>
      </c>
      <c r="D10" s="76" t="s">
        <v>23</v>
      </c>
      <c r="E10" s="76" t="s">
        <v>23</v>
      </c>
      <c r="F10" s="162" t="s">
        <v>23</v>
      </c>
      <c r="G10" s="76" t="s">
        <v>23</v>
      </c>
      <c r="H10" s="162" t="s">
        <v>23</v>
      </c>
      <c r="I10" s="76" t="s">
        <v>23</v>
      </c>
      <c r="J10" s="162" t="s">
        <v>23</v>
      </c>
      <c r="K10" s="76" t="s">
        <v>23</v>
      </c>
      <c r="L10" s="162" t="s">
        <v>23</v>
      </c>
      <c r="M10" s="76" t="s">
        <v>23</v>
      </c>
      <c r="N10" s="162" t="s">
        <v>23</v>
      </c>
    </row>
    <row r="11" spans="1:14">
      <c r="B11" s="238"/>
      <c r="C11" s="127" t="s">
        <v>24</v>
      </c>
      <c r="D11" s="76">
        <v>4</v>
      </c>
      <c r="E11" s="76">
        <v>4</v>
      </c>
      <c r="F11" s="162">
        <v>4</v>
      </c>
      <c r="G11" s="76">
        <v>4</v>
      </c>
      <c r="H11" s="162">
        <v>4</v>
      </c>
      <c r="I11" s="76">
        <v>4</v>
      </c>
      <c r="J11" s="162">
        <v>4</v>
      </c>
      <c r="K11" s="76">
        <v>4</v>
      </c>
      <c r="L11" s="162">
        <v>4</v>
      </c>
      <c r="M11" s="76">
        <v>4</v>
      </c>
      <c r="N11" s="162">
        <v>4</v>
      </c>
    </row>
    <row r="12" spans="1:14">
      <c r="B12" s="238"/>
      <c r="C12" s="127" t="s">
        <v>25</v>
      </c>
      <c r="D12" s="76">
        <v>4</v>
      </c>
      <c r="E12" s="76">
        <v>4</v>
      </c>
      <c r="F12" s="162">
        <v>4</v>
      </c>
      <c r="G12" s="76">
        <v>4</v>
      </c>
      <c r="H12" s="162">
        <v>4</v>
      </c>
      <c r="I12" s="76">
        <v>4</v>
      </c>
      <c r="J12" s="162">
        <v>4</v>
      </c>
      <c r="K12" s="76">
        <v>4</v>
      </c>
      <c r="L12" s="162">
        <v>4</v>
      </c>
      <c r="M12" s="76">
        <v>4</v>
      </c>
      <c r="N12" s="162">
        <v>4</v>
      </c>
    </row>
    <row r="13" spans="1:14">
      <c r="B13" s="238"/>
      <c r="C13" s="127" t="s">
        <v>26</v>
      </c>
      <c r="D13" s="76">
        <v>96</v>
      </c>
      <c r="E13" s="76">
        <v>96</v>
      </c>
      <c r="F13" s="162">
        <v>96</v>
      </c>
      <c r="G13" s="76">
        <v>60</v>
      </c>
      <c r="H13" s="162">
        <v>60</v>
      </c>
      <c r="I13" s="76">
        <v>40</v>
      </c>
      <c r="J13" s="162">
        <v>40</v>
      </c>
      <c r="K13" s="76">
        <v>24</v>
      </c>
      <c r="L13" s="162">
        <v>24</v>
      </c>
      <c r="M13" s="76">
        <v>24</v>
      </c>
      <c r="N13" s="162">
        <v>24</v>
      </c>
    </row>
    <row r="14" spans="1:14">
      <c r="B14" s="238"/>
      <c r="C14" s="127" t="s">
        <v>27</v>
      </c>
      <c r="D14" s="76">
        <v>96</v>
      </c>
      <c r="E14" s="76">
        <v>96</v>
      </c>
      <c r="F14" s="162">
        <v>96</v>
      </c>
      <c r="G14" s="76">
        <v>60</v>
      </c>
      <c r="H14" s="162">
        <v>60</v>
      </c>
      <c r="I14" s="76">
        <v>40</v>
      </c>
      <c r="J14" s="162">
        <v>40</v>
      </c>
      <c r="K14" s="76">
        <v>24</v>
      </c>
      <c r="L14" s="162">
        <v>24</v>
      </c>
      <c r="M14" s="76">
        <v>24</v>
      </c>
      <c r="N14" s="162">
        <v>24</v>
      </c>
    </row>
    <row r="15" spans="1:14" s="33" customFormat="1">
      <c r="A15" s="51"/>
      <c r="B15" s="239"/>
      <c r="C15" s="128" t="s">
        <v>28</v>
      </c>
      <c r="D15" s="163">
        <v>2.5</v>
      </c>
      <c r="E15" s="163">
        <v>2.5</v>
      </c>
      <c r="F15" s="164">
        <v>2.5</v>
      </c>
      <c r="G15" s="163">
        <v>4</v>
      </c>
      <c r="H15" s="164">
        <v>4</v>
      </c>
      <c r="I15" s="163">
        <v>6</v>
      </c>
      <c r="J15" s="164">
        <v>6</v>
      </c>
      <c r="K15" s="163">
        <v>10</v>
      </c>
      <c r="L15" s="164">
        <v>10</v>
      </c>
      <c r="M15" s="163">
        <v>10</v>
      </c>
      <c r="N15" s="164">
        <v>10</v>
      </c>
    </row>
    <row r="16" spans="1:14" s="32" customFormat="1">
      <c r="A16" s="50"/>
      <c r="B16" s="239"/>
      <c r="C16" s="129" t="s">
        <v>29</v>
      </c>
      <c r="D16" s="76" t="str">
        <f t="shared" ref="D16" si="0">D13&amp;"x"&amp;D14</f>
        <v>96x96</v>
      </c>
      <c r="E16" s="76" t="str">
        <f t="shared" ref="E16:N16" si="1">E13&amp;"x"&amp;E14</f>
        <v>96x96</v>
      </c>
      <c r="F16" s="162" t="str">
        <f t="shared" si="1"/>
        <v>96x96</v>
      </c>
      <c r="G16" s="76" t="str">
        <f t="shared" si="1"/>
        <v>60x60</v>
      </c>
      <c r="H16" s="162" t="str">
        <f t="shared" si="1"/>
        <v>60x60</v>
      </c>
      <c r="I16" s="76" t="str">
        <f t="shared" si="1"/>
        <v>40x40</v>
      </c>
      <c r="J16" s="162" t="str">
        <f t="shared" si="1"/>
        <v>40x40</v>
      </c>
      <c r="K16" s="76" t="str">
        <f t="shared" si="1"/>
        <v>24x24</v>
      </c>
      <c r="L16" s="162" t="str">
        <f t="shared" si="1"/>
        <v>24x24</v>
      </c>
      <c r="M16" s="76" t="str">
        <f t="shared" si="1"/>
        <v>24x24</v>
      </c>
      <c r="N16" s="162" t="str">
        <f t="shared" si="1"/>
        <v>24x24</v>
      </c>
    </row>
    <row r="17" spans="1:14" s="32" customFormat="1">
      <c r="A17" s="50"/>
      <c r="B17" s="239"/>
      <c r="C17" s="130" t="s">
        <v>30</v>
      </c>
      <c r="D17" s="76" t="str">
        <f t="shared" ref="D17" si="2">D13*D15&amp;"x"&amp;D14*D15</f>
        <v>240x240</v>
      </c>
      <c r="E17" s="76" t="str">
        <f t="shared" ref="E17:H17" si="3">E13*E15&amp;"x"&amp;E14*E15</f>
        <v>240x240</v>
      </c>
      <c r="F17" s="162" t="str">
        <f t="shared" si="3"/>
        <v>240x240</v>
      </c>
      <c r="G17" s="76" t="str">
        <f t="shared" si="3"/>
        <v>240x240</v>
      </c>
      <c r="H17" s="162" t="str">
        <f t="shared" si="3"/>
        <v>240x240</v>
      </c>
      <c r="I17" s="76" t="s">
        <v>110</v>
      </c>
      <c r="J17" s="162" t="s">
        <v>110</v>
      </c>
      <c r="K17" s="76" t="s">
        <v>110</v>
      </c>
      <c r="L17" s="162" t="s">
        <v>110</v>
      </c>
      <c r="M17" s="76" t="str">
        <f t="shared" ref="M17:N17" si="4">M13*M15&amp;"x"&amp;M14*M15</f>
        <v>240x240</v>
      </c>
      <c r="N17" s="162" t="str">
        <f t="shared" si="4"/>
        <v>240x240</v>
      </c>
    </row>
    <row r="18" spans="1:14" s="34" customFormat="1">
      <c r="A18" s="52"/>
      <c r="B18" s="239"/>
      <c r="C18" s="131" t="s">
        <v>34</v>
      </c>
      <c r="D18" s="84">
        <v>0.4</v>
      </c>
      <c r="E18" s="84">
        <v>0.4</v>
      </c>
      <c r="F18" s="165">
        <v>0.4</v>
      </c>
      <c r="G18" s="84">
        <v>0.4</v>
      </c>
      <c r="H18" s="165">
        <v>0.4</v>
      </c>
      <c r="I18" s="84">
        <v>0.4</v>
      </c>
      <c r="J18" s="165">
        <v>0.4</v>
      </c>
      <c r="K18" s="84">
        <v>0.4</v>
      </c>
      <c r="L18" s="165">
        <v>0.4</v>
      </c>
      <c r="M18" s="84">
        <v>0.57999999999999996</v>
      </c>
      <c r="N18" s="165">
        <v>0.57999999999999996</v>
      </c>
    </row>
    <row r="19" spans="1:14" s="32" customFormat="1">
      <c r="A19" s="50"/>
      <c r="B19" s="239"/>
      <c r="C19" s="132" t="s">
        <v>35</v>
      </c>
      <c r="D19" s="86" t="s">
        <v>14</v>
      </c>
      <c r="E19" s="86" t="s">
        <v>14</v>
      </c>
      <c r="F19" s="162" t="s">
        <v>14</v>
      </c>
      <c r="G19" s="86" t="s">
        <v>14</v>
      </c>
      <c r="H19" s="162" t="s">
        <v>14</v>
      </c>
      <c r="I19" s="86" t="s">
        <v>14</v>
      </c>
      <c r="J19" s="162" t="s">
        <v>14</v>
      </c>
      <c r="K19" s="86" t="s">
        <v>14</v>
      </c>
      <c r="L19" s="162" t="s">
        <v>14</v>
      </c>
      <c r="M19" s="86" t="s">
        <v>14</v>
      </c>
      <c r="N19" s="162" t="s">
        <v>14</v>
      </c>
    </row>
    <row r="20" spans="1:14" s="32" customFormat="1">
      <c r="A20" s="50"/>
      <c r="B20" s="239"/>
      <c r="C20" s="129" t="s">
        <v>36</v>
      </c>
      <c r="D20" s="82" t="str">
        <f>D11&amp;"x"&amp;D12</f>
        <v>4x4</v>
      </c>
      <c r="E20" s="82" t="str">
        <f>E11&amp;"x"&amp;E12</f>
        <v>4x4</v>
      </c>
      <c r="F20" s="148" t="str">
        <f>F11&amp;"x"&amp;F12</f>
        <v>4x4</v>
      </c>
      <c r="G20" s="82" t="s">
        <v>111</v>
      </c>
      <c r="H20" s="148" t="s">
        <v>111</v>
      </c>
      <c r="I20" s="82" t="s">
        <v>111</v>
      </c>
      <c r="J20" s="148" t="s">
        <v>111</v>
      </c>
      <c r="K20" s="82" t="s">
        <v>111</v>
      </c>
      <c r="L20" s="148" t="s">
        <v>111</v>
      </c>
      <c r="M20" s="82" t="str">
        <f t="shared" ref="M20:N20" si="5">M11&amp;"x"&amp;M12</f>
        <v>4x4</v>
      </c>
      <c r="N20" s="148" t="str">
        <f t="shared" si="5"/>
        <v>4x4</v>
      </c>
    </row>
    <row r="21" spans="1:14" s="32" customFormat="1">
      <c r="A21" s="50"/>
      <c r="B21" s="239"/>
      <c r="C21" s="129" t="s">
        <v>40</v>
      </c>
      <c r="D21" s="83" t="str">
        <f t="shared" ref="D21" si="6">D11*D13&amp;"x"&amp;D12*D14</f>
        <v>384x384</v>
      </c>
      <c r="E21" s="83" t="str">
        <f t="shared" ref="E21:J21" si="7">E11*E13&amp;"x"&amp;E12*E14</f>
        <v>384x384</v>
      </c>
      <c r="F21" s="56" t="str">
        <f t="shared" si="7"/>
        <v>384x384</v>
      </c>
      <c r="G21" s="83" t="str">
        <f t="shared" si="7"/>
        <v>240x240</v>
      </c>
      <c r="H21" s="56" t="str">
        <f t="shared" si="7"/>
        <v>240x240</v>
      </c>
      <c r="I21" s="83" t="str">
        <f t="shared" si="7"/>
        <v>160x160</v>
      </c>
      <c r="J21" s="56" t="str">
        <f t="shared" si="7"/>
        <v>160x160</v>
      </c>
      <c r="K21" s="83" t="s">
        <v>112</v>
      </c>
      <c r="L21" s="56" t="s">
        <v>112</v>
      </c>
      <c r="M21" s="83" t="str">
        <f t="shared" ref="M21:N21" si="8">M11*M13&amp;"x"&amp;M12*M14</f>
        <v>96x96</v>
      </c>
      <c r="N21" s="56" t="str">
        <f t="shared" si="8"/>
        <v>96x96</v>
      </c>
    </row>
    <row r="22" spans="1:14" s="32" customFormat="1">
      <c r="A22" s="50"/>
      <c r="B22" s="239"/>
      <c r="C22" s="129" t="s">
        <v>41</v>
      </c>
      <c r="D22" s="82" t="str">
        <f>D13*D15*D11&amp;"x"&amp;D14*D15*D12&amp;"x"&amp;"97"</f>
        <v>960x960x97</v>
      </c>
      <c r="E22" s="82" t="str">
        <f>E13*E15*E11&amp;"x"&amp;E14*E15*E12&amp;"x"&amp;"97"</f>
        <v>960x960x97</v>
      </c>
      <c r="F22" s="148" t="str">
        <f>F13*F15*F11&amp;"x"&amp;F14*F15*F12&amp;"x"&amp;"97"</f>
        <v>960x960x97</v>
      </c>
      <c r="G22" s="82" t="s">
        <v>113</v>
      </c>
      <c r="H22" s="148" t="s">
        <v>113</v>
      </c>
      <c r="I22" s="82" t="s">
        <v>113</v>
      </c>
      <c r="J22" s="148" t="s">
        <v>113</v>
      </c>
      <c r="K22" s="82" t="s">
        <v>113</v>
      </c>
      <c r="L22" s="148" t="s">
        <v>113</v>
      </c>
      <c r="M22" s="82" t="str">
        <f t="shared" ref="M22:N22" si="9">M13*M15*M11&amp;"x"&amp;M14*M15*M12&amp;"x"&amp;"150.8"</f>
        <v>960x960x150.8</v>
      </c>
      <c r="N22" s="148" t="str">
        <f t="shared" si="9"/>
        <v>960x960x150.8</v>
      </c>
    </row>
    <row r="23" spans="1:14" s="35" customFormat="1">
      <c r="A23" s="53"/>
      <c r="B23" s="239"/>
      <c r="C23" s="133" t="s">
        <v>114</v>
      </c>
      <c r="D23" s="163">
        <f t="shared" ref="D23" si="10">(D15*D11*D13)*(D15*D12*D14)/1000000</f>
        <v>0.92159999999999997</v>
      </c>
      <c r="E23" s="163">
        <f t="shared" ref="E23:N23" si="11">(E15*E11*E13)*(E15*E12*E14)/1000000</f>
        <v>0.92159999999999997</v>
      </c>
      <c r="F23" s="164">
        <f t="shared" si="11"/>
        <v>0.92159999999999997</v>
      </c>
      <c r="G23" s="163">
        <f t="shared" si="11"/>
        <v>0.92159999999999997</v>
      </c>
      <c r="H23" s="164">
        <f t="shared" si="11"/>
        <v>0.92159999999999997</v>
      </c>
      <c r="I23" s="163">
        <f t="shared" si="11"/>
        <v>0.92159999999999997</v>
      </c>
      <c r="J23" s="164">
        <f t="shared" si="11"/>
        <v>0.92159999999999997</v>
      </c>
      <c r="K23" s="163">
        <f t="shared" si="11"/>
        <v>0.92159999999999997</v>
      </c>
      <c r="L23" s="164">
        <f t="shared" si="11"/>
        <v>0.92159999999999997</v>
      </c>
      <c r="M23" s="163">
        <f t="shared" si="11"/>
        <v>0.92159999999999997</v>
      </c>
      <c r="N23" s="164">
        <f t="shared" si="11"/>
        <v>0.92159999999999997</v>
      </c>
    </row>
    <row r="24" spans="1:14" s="36" customFormat="1">
      <c r="A24" s="54"/>
      <c r="B24" s="239"/>
      <c r="C24" s="134" t="s">
        <v>43</v>
      </c>
      <c r="D24" s="166">
        <v>21</v>
      </c>
      <c r="E24" s="166">
        <v>19.5</v>
      </c>
      <c r="F24" s="167">
        <v>19.5</v>
      </c>
      <c r="G24" s="166">
        <v>19.5</v>
      </c>
      <c r="H24" s="167">
        <v>19.5</v>
      </c>
      <c r="I24" s="166">
        <v>19.5</v>
      </c>
      <c r="J24" s="167">
        <v>19.5</v>
      </c>
      <c r="K24" s="166">
        <v>19.5</v>
      </c>
      <c r="L24" s="167">
        <v>19.5</v>
      </c>
      <c r="M24" s="166">
        <v>26</v>
      </c>
      <c r="N24" s="167">
        <v>26</v>
      </c>
    </row>
    <row r="25" spans="1:14">
      <c r="B25" s="239"/>
      <c r="C25" s="135" t="s">
        <v>44</v>
      </c>
      <c r="D25" s="83">
        <f>1000*1000/D15/D15</f>
        <v>160000</v>
      </c>
      <c r="E25" s="83">
        <f>1000*1000/E15/E15</f>
        <v>160000</v>
      </c>
      <c r="F25" s="56">
        <f>1000*1000/F15/F15</f>
        <v>160000</v>
      </c>
      <c r="G25" s="83">
        <v>62500</v>
      </c>
      <c r="H25" s="56">
        <v>62500</v>
      </c>
      <c r="I25" s="83">
        <f>25600/0.9216</f>
        <v>27777.777777777777</v>
      </c>
      <c r="J25" s="56">
        <f>25600/0.9216</f>
        <v>27777.777777777777</v>
      </c>
      <c r="K25" s="83">
        <f>9216/0.9216</f>
        <v>10000</v>
      </c>
      <c r="L25" s="56">
        <f>9216/0.9216</f>
        <v>10000</v>
      </c>
      <c r="M25" s="83">
        <v>10000</v>
      </c>
      <c r="N25" s="56">
        <v>10000</v>
      </c>
    </row>
    <row r="26" spans="1:14">
      <c r="B26" s="239"/>
      <c r="C26" s="135" t="s">
        <v>45</v>
      </c>
      <c r="D26" s="91" t="s">
        <v>46</v>
      </c>
      <c r="E26" s="91" t="s">
        <v>46</v>
      </c>
      <c r="F26" s="147" t="s">
        <v>46</v>
      </c>
      <c r="G26" s="91" t="s">
        <v>46</v>
      </c>
      <c r="H26" s="147" t="s">
        <v>46</v>
      </c>
      <c r="I26" s="91" t="s">
        <v>46</v>
      </c>
      <c r="J26" s="147" t="s">
        <v>46</v>
      </c>
      <c r="K26" s="91" t="s">
        <v>46</v>
      </c>
      <c r="L26" s="147" t="s">
        <v>46</v>
      </c>
      <c r="M26" s="91" t="s">
        <v>46</v>
      </c>
      <c r="N26" s="147" t="s">
        <v>46</v>
      </c>
    </row>
    <row r="27" spans="1:14">
      <c r="B27" s="239"/>
      <c r="C27" s="135" t="s">
        <v>47</v>
      </c>
      <c r="D27" s="82" t="s">
        <v>48</v>
      </c>
      <c r="E27" s="82" t="s">
        <v>48</v>
      </c>
      <c r="F27" s="148" t="s">
        <v>48</v>
      </c>
      <c r="G27" s="82" t="s">
        <v>48</v>
      </c>
      <c r="H27" s="148" t="s">
        <v>48</v>
      </c>
      <c r="I27" s="82" t="s">
        <v>48</v>
      </c>
      <c r="J27" s="148" t="s">
        <v>48</v>
      </c>
      <c r="K27" s="82" t="s">
        <v>48</v>
      </c>
      <c r="L27" s="148" t="s">
        <v>48</v>
      </c>
      <c r="M27" s="82" t="s">
        <v>48</v>
      </c>
      <c r="N27" s="148" t="s">
        <v>48</v>
      </c>
    </row>
    <row r="28" spans="1:14">
      <c r="B28" s="240"/>
      <c r="C28" s="136" t="s">
        <v>115</v>
      </c>
      <c r="D28" s="168" t="s">
        <v>50</v>
      </c>
      <c r="E28" s="168" t="s">
        <v>50</v>
      </c>
      <c r="F28" s="148" t="s">
        <v>50</v>
      </c>
      <c r="G28" s="168" t="s">
        <v>50</v>
      </c>
      <c r="H28" s="148" t="s">
        <v>50</v>
      </c>
      <c r="I28" s="168" t="s">
        <v>50</v>
      </c>
      <c r="J28" s="148" t="s">
        <v>50</v>
      </c>
      <c r="K28" s="168" t="s">
        <v>50</v>
      </c>
      <c r="L28" s="148" t="s">
        <v>50</v>
      </c>
      <c r="M28" s="168" t="s">
        <v>50</v>
      </c>
      <c r="N28" s="148" t="s">
        <v>50</v>
      </c>
    </row>
    <row r="29" spans="1:14" ht="13.15" thickBot="1">
      <c r="B29" s="241"/>
      <c r="C29" s="137" t="s">
        <v>53</v>
      </c>
      <c r="D29" s="149" t="s">
        <v>54</v>
      </c>
      <c r="E29" s="149" t="s">
        <v>54</v>
      </c>
      <c r="F29" s="150" t="s">
        <v>54</v>
      </c>
      <c r="G29" s="149" t="s">
        <v>54</v>
      </c>
      <c r="H29" s="150" t="s">
        <v>54</v>
      </c>
      <c r="I29" s="149" t="s">
        <v>54</v>
      </c>
      <c r="J29" s="150" t="s">
        <v>54</v>
      </c>
      <c r="K29" s="149" t="s">
        <v>54</v>
      </c>
      <c r="L29" s="150" t="s">
        <v>54</v>
      </c>
      <c r="M29" s="149" t="s">
        <v>55</v>
      </c>
      <c r="N29" s="150" t="s">
        <v>55</v>
      </c>
    </row>
    <row r="30" spans="1:14">
      <c r="B30" s="242" t="s">
        <v>56</v>
      </c>
      <c r="C30" s="138" t="s">
        <v>57</v>
      </c>
      <c r="D30" s="82">
        <v>2000</v>
      </c>
      <c r="E30" s="82">
        <v>2000</v>
      </c>
      <c r="F30" s="148">
        <v>1200</v>
      </c>
      <c r="G30" s="82">
        <v>2000</v>
      </c>
      <c r="H30" s="148">
        <v>1200</v>
      </c>
      <c r="I30" s="82">
        <v>2000</v>
      </c>
      <c r="J30" s="148">
        <v>1200</v>
      </c>
      <c r="K30" s="82">
        <v>2000</v>
      </c>
      <c r="L30" s="148">
        <v>1200</v>
      </c>
      <c r="M30" s="82">
        <v>2000</v>
      </c>
      <c r="N30" s="148">
        <v>1200</v>
      </c>
    </row>
    <row r="31" spans="1:14">
      <c r="B31" s="243"/>
      <c r="C31" s="135" t="s">
        <v>58</v>
      </c>
      <c r="D31" s="83" t="s">
        <v>59</v>
      </c>
      <c r="E31" s="83" t="s">
        <v>59</v>
      </c>
      <c r="F31" s="56" t="s">
        <v>59</v>
      </c>
      <c r="G31" s="83" t="s">
        <v>59</v>
      </c>
      <c r="H31" s="56" t="s">
        <v>59</v>
      </c>
      <c r="I31" s="83" t="s">
        <v>59</v>
      </c>
      <c r="J31" s="56" t="s">
        <v>59</v>
      </c>
      <c r="K31" s="83" t="s">
        <v>59</v>
      </c>
      <c r="L31" s="56" t="s">
        <v>59</v>
      </c>
      <c r="M31" s="83" t="s">
        <v>59</v>
      </c>
      <c r="N31" s="56" t="s">
        <v>59</v>
      </c>
    </row>
    <row r="32" spans="1:14">
      <c r="B32" s="243"/>
      <c r="C32" s="135" t="s">
        <v>60</v>
      </c>
      <c r="D32" s="82" t="s">
        <v>61</v>
      </c>
      <c r="E32" s="82" t="s">
        <v>61</v>
      </c>
      <c r="F32" s="148" t="s">
        <v>61</v>
      </c>
      <c r="G32" s="82" t="s">
        <v>61</v>
      </c>
      <c r="H32" s="148" t="s">
        <v>61</v>
      </c>
      <c r="I32" s="82" t="s">
        <v>61</v>
      </c>
      <c r="J32" s="148" t="s">
        <v>61</v>
      </c>
      <c r="K32" s="82" t="s">
        <v>61</v>
      </c>
      <c r="L32" s="148" t="s">
        <v>61</v>
      </c>
      <c r="M32" s="82" t="s">
        <v>61</v>
      </c>
      <c r="N32" s="148" t="s">
        <v>61</v>
      </c>
    </row>
    <row r="33" spans="1:14">
      <c r="B33" s="243"/>
      <c r="C33" s="135" t="s">
        <v>62</v>
      </c>
      <c r="D33" s="82" t="s">
        <v>61</v>
      </c>
      <c r="E33" s="82" t="s">
        <v>61</v>
      </c>
      <c r="F33" s="148" t="s">
        <v>61</v>
      </c>
      <c r="G33" s="82" t="s">
        <v>71</v>
      </c>
      <c r="H33" s="148" t="s">
        <v>71</v>
      </c>
      <c r="I33" s="82" t="s">
        <v>71</v>
      </c>
      <c r="J33" s="148" t="s">
        <v>71</v>
      </c>
      <c r="K33" s="82" t="s">
        <v>71</v>
      </c>
      <c r="L33" s="148" t="s">
        <v>71</v>
      </c>
      <c r="M33" s="82" t="s">
        <v>116</v>
      </c>
      <c r="N33" s="148" t="s">
        <v>116</v>
      </c>
    </row>
    <row r="34" spans="1:14" s="32" customFormat="1">
      <c r="A34" s="50"/>
      <c r="B34" s="243"/>
      <c r="C34" s="130" t="s">
        <v>66</v>
      </c>
      <c r="D34" s="169" t="s">
        <v>67</v>
      </c>
      <c r="E34" s="169" t="s">
        <v>67</v>
      </c>
      <c r="F34" s="170" t="s">
        <v>67</v>
      </c>
      <c r="G34" s="169" t="s">
        <v>67</v>
      </c>
      <c r="H34" s="170" t="s">
        <v>67</v>
      </c>
      <c r="I34" s="169" t="s">
        <v>67</v>
      </c>
      <c r="J34" s="170" t="s">
        <v>67</v>
      </c>
      <c r="K34" s="169" t="s">
        <v>67</v>
      </c>
      <c r="L34" s="170" t="s">
        <v>67</v>
      </c>
      <c r="M34" s="169" t="s">
        <v>67</v>
      </c>
      <c r="N34" s="170" t="s">
        <v>67</v>
      </c>
    </row>
    <row r="35" spans="1:14" s="32" customFormat="1">
      <c r="A35" s="50"/>
      <c r="B35" s="243"/>
      <c r="C35" s="130" t="s">
        <v>68</v>
      </c>
      <c r="D35" s="169" t="s">
        <v>117</v>
      </c>
      <c r="E35" s="169" t="s">
        <v>117</v>
      </c>
      <c r="F35" s="170" t="s">
        <v>117</v>
      </c>
      <c r="G35" s="169" t="s">
        <v>117</v>
      </c>
      <c r="H35" s="170" t="s">
        <v>117</v>
      </c>
      <c r="I35" s="169" t="s">
        <v>117</v>
      </c>
      <c r="J35" s="170" t="s">
        <v>117</v>
      </c>
      <c r="K35" s="169" t="s">
        <v>117</v>
      </c>
      <c r="L35" s="170" t="s">
        <v>117</v>
      </c>
      <c r="M35" s="169" t="s">
        <v>117</v>
      </c>
      <c r="N35" s="170" t="s">
        <v>117</v>
      </c>
    </row>
    <row r="36" spans="1:14">
      <c r="B36" s="243"/>
      <c r="C36" s="135" t="s">
        <v>74</v>
      </c>
      <c r="D36" s="111" t="s">
        <v>75</v>
      </c>
      <c r="E36" s="111" t="s">
        <v>75</v>
      </c>
      <c r="F36" s="113" t="s">
        <v>75</v>
      </c>
      <c r="G36" s="111" t="s">
        <v>75</v>
      </c>
      <c r="H36" s="113" t="s">
        <v>75</v>
      </c>
      <c r="I36" s="111" t="s">
        <v>75</v>
      </c>
      <c r="J36" s="113" t="s">
        <v>75</v>
      </c>
      <c r="K36" s="111" t="s">
        <v>75</v>
      </c>
      <c r="L36" s="113" t="s">
        <v>75</v>
      </c>
      <c r="M36" s="111" t="s">
        <v>118</v>
      </c>
      <c r="N36" s="113" t="s">
        <v>75</v>
      </c>
    </row>
    <row r="37" spans="1:14">
      <c r="B37" s="243"/>
      <c r="C37" s="135" t="s">
        <v>76</v>
      </c>
      <c r="D37" s="83" t="s">
        <v>77</v>
      </c>
      <c r="E37" s="83" t="s">
        <v>77</v>
      </c>
      <c r="F37" s="56" t="s">
        <v>77</v>
      </c>
      <c r="G37" s="83" t="s">
        <v>77</v>
      </c>
      <c r="H37" s="56" t="s">
        <v>77</v>
      </c>
      <c r="I37" s="83" t="s">
        <v>77</v>
      </c>
      <c r="J37" s="56" t="s">
        <v>77</v>
      </c>
      <c r="K37" s="83" t="s">
        <v>77</v>
      </c>
      <c r="L37" s="56" t="s">
        <v>77</v>
      </c>
      <c r="M37" s="83" t="s">
        <v>77</v>
      </c>
      <c r="N37" s="56" t="s">
        <v>77</v>
      </c>
    </row>
    <row r="38" spans="1:14" s="38" customFormat="1" ht="13.15">
      <c r="A38" s="55"/>
      <c r="B38" s="243"/>
      <c r="C38" s="130" t="s">
        <v>78</v>
      </c>
      <c r="D38" s="82" t="s">
        <v>119</v>
      </c>
      <c r="E38" s="82" t="s">
        <v>119</v>
      </c>
      <c r="F38" s="148" t="s">
        <v>119</v>
      </c>
      <c r="G38" s="82" t="s">
        <v>119</v>
      </c>
      <c r="H38" s="148" t="s">
        <v>119</v>
      </c>
      <c r="I38" s="82" t="s">
        <v>119</v>
      </c>
      <c r="J38" s="148" t="s">
        <v>119</v>
      </c>
      <c r="K38" s="82" t="s">
        <v>119</v>
      </c>
      <c r="L38" s="148" t="s">
        <v>119</v>
      </c>
      <c r="M38" s="82" t="s">
        <v>80</v>
      </c>
      <c r="N38" s="148" t="s">
        <v>80</v>
      </c>
    </row>
    <row r="39" spans="1:14" s="32" customFormat="1" ht="13.15" thickBot="1">
      <c r="A39" s="50"/>
      <c r="B39" s="244"/>
      <c r="C39" s="139" t="s">
        <v>84</v>
      </c>
      <c r="D39" s="92">
        <v>16</v>
      </c>
      <c r="E39" s="92">
        <v>16</v>
      </c>
      <c r="F39" s="151">
        <v>16</v>
      </c>
      <c r="G39" s="92">
        <v>16</v>
      </c>
      <c r="H39" s="151">
        <v>16</v>
      </c>
      <c r="I39" s="92">
        <v>16</v>
      </c>
      <c r="J39" s="151">
        <v>16</v>
      </c>
      <c r="K39" s="92">
        <v>16</v>
      </c>
      <c r="L39" s="151">
        <v>16</v>
      </c>
      <c r="M39" s="92">
        <v>16</v>
      </c>
      <c r="N39" s="151">
        <v>16</v>
      </c>
    </row>
    <row r="40" spans="1:14">
      <c r="B40" s="245"/>
      <c r="C40" s="135" t="s">
        <v>85</v>
      </c>
      <c r="D40" s="223">
        <v>370</v>
      </c>
      <c r="E40" s="223">
        <v>370</v>
      </c>
      <c r="F40" s="58">
        <v>410</v>
      </c>
      <c r="G40" s="223">
        <v>370</v>
      </c>
      <c r="H40" s="58">
        <v>410</v>
      </c>
      <c r="I40" s="223">
        <v>370</v>
      </c>
      <c r="J40" s="58">
        <v>410</v>
      </c>
      <c r="K40" s="223">
        <v>370</v>
      </c>
      <c r="L40" s="58">
        <v>410</v>
      </c>
      <c r="M40" s="223">
        <v>370</v>
      </c>
      <c r="N40" s="58">
        <v>410</v>
      </c>
    </row>
    <row r="41" spans="1:14">
      <c r="B41" s="243"/>
      <c r="C41" s="140" t="s">
        <v>86</v>
      </c>
      <c r="D41" s="83">
        <f t="shared" ref="D41" si="12">D40*0.4</f>
        <v>148</v>
      </c>
      <c r="E41" s="83">
        <f t="shared" ref="E41:N41" si="13">E40*0.4</f>
        <v>148</v>
      </c>
      <c r="F41" s="56">
        <f t="shared" si="13"/>
        <v>164</v>
      </c>
      <c r="G41" s="83">
        <f t="shared" si="13"/>
        <v>148</v>
      </c>
      <c r="H41" s="56">
        <f t="shared" si="13"/>
        <v>164</v>
      </c>
      <c r="I41" s="83">
        <f t="shared" si="13"/>
        <v>148</v>
      </c>
      <c r="J41" s="56">
        <f t="shared" si="13"/>
        <v>164</v>
      </c>
      <c r="K41" s="83">
        <f t="shared" si="13"/>
        <v>148</v>
      </c>
      <c r="L41" s="56">
        <f t="shared" si="13"/>
        <v>164</v>
      </c>
      <c r="M41" s="83">
        <f t="shared" si="13"/>
        <v>148</v>
      </c>
      <c r="N41" s="56">
        <f t="shared" si="13"/>
        <v>164</v>
      </c>
    </row>
    <row r="42" spans="1:14">
      <c r="B42" s="243"/>
      <c r="C42" s="140" t="s">
        <v>120</v>
      </c>
      <c r="D42" s="83">
        <f t="shared" ref="D42" si="14">D40/0.9216</f>
        <v>401.47569444444446</v>
      </c>
      <c r="E42" s="83">
        <f t="shared" ref="E42:L42" si="15">E40/0.9216</f>
        <v>401.47569444444446</v>
      </c>
      <c r="F42" s="56">
        <f t="shared" si="15"/>
        <v>444.87847222222223</v>
      </c>
      <c r="G42" s="83">
        <f t="shared" si="15"/>
        <v>401.47569444444446</v>
      </c>
      <c r="H42" s="56">
        <f t="shared" si="15"/>
        <v>444.87847222222223</v>
      </c>
      <c r="I42" s="83">
        <f t="shared" si="15"/>
        <v>401.47569444444446</v>
      </c>
      <c r="J42" s="56">
        <f t="shared" si="15"/>
        <v>444.87847222222223</v>
      </c>
      <c r="K42" s="83">
        <f t="shared" si="15"/>
        <v>401.47569444444446</v>
      </c>
      <c r="L42" s="56">
        <f t="shared" si="15"/>
        <v>444.87847222222223</v>
      </c>
      <c r="M42" s="83">
        <f t="shared" ref="M42:N42" si="16">M40/M23</f>
        <v>401.47569444444446</v>
      </c>
      <c r="N42" s="56">
        <f t="shared" si="16"/>
        <v>444.87847222222223</v>
      </c>
    </row>
    <row r="43" spans="1:14">
      <c r="B43" s="243"/>
      <c r="C43" s="135" t="s">
        <v>88</v>
      </c>
      <c r="D43" s="83" t="s">
        <v>89</v>
      </c>
      <c r="E43" s="83" t="s">
        <v>89</v>
      </c>
      <c r="F43" s="56" t="s">
        <v>89</v>
      </c>
      <c r="G43" s="83" t="s">
        <v>89</v>
      </c>
      <c r="H43" s="56" t="s">
        <v>89</v>
      </c>
      <c r="I43" s="83" t="s">
        <v>89</v>
      </c>
      <c r="J43" s="56" t="s">
        <v>89</v>
      </c>
      <c r="K43" s="83" t="s">
        <v>89</v>
      </c>
      <c r="L43" s="56" t="s">
        <v>89</v>
      </c>
      <c r="M43" s="83" t="s">
        <v>89</v>
      </c>
      <c r="N43" s="56" t="s">
        <v>89</v>
      </c>
    </row>
    <row r="44" spans="1:14">
      <c r="B44" s="243"/>
      <c r="C44" s="135" t="s">
        <v>90</v>
      </c>
      <c r="D44" s="83" t="s">
        <v>91</v>
      </c>
      <c r="E44" s="83" t="s">
        <v>91</v>
      </c>
      <c r="F44" s="56" t="s">
        <v>91</v>
      </c>
      <c r="G44" s="83" t="s">
        <v>91</v>
      </c>
      <c r="H44" s="56" t="s">
        <v>91</v>
      </c>
      <c r="I44" s="83" t="s">
        <v>91</v>
      </c>
      <c r="J44" s="56" t="s">
        <v>91</v>
      </c>
      <c r="K44" s="83" t="s">
        <v>91</v>
      </c>
      <c r="L44" s="56" t="s">
        <v>91</v>
      </c>
      <c r="M44" s="83" t="s">
        <v>91</v>
      </c>
      <c r="N44" s="56" t="s">
        <v>91</v>
      </c>
    </row>
    <row r="45" spans="1:14" ht="15.75" customHeight="1" thickBot="1">
      <c r="B45" s="243"/>
      <c r="C45" s="135" t="s">
        <v>92</v>
      </c>
      <c r="D45" s="171" t="s">
        <v>121</v>
      </c>
      <c r="E45" s="171" t="s">
        <v>121</v>
      </c>
      <c r="F45" s="172" t="s">
        <v>121</v>
      </c>
      <c r="G45" s="171" t="s">
        <v>121</v>
      </c>
      <c r="H45" s="172" t="s">
        <v>121</v>
      </c>
      <c r="I45" s="171" t="s">
        <v>121</v>
      </c>
      <c r="J45" s="172" t="s">
        <v>121</v>
      </c>
      <c r="K45" s="171" t="s">
        <v>121</v>
      </c>
      <c r="L45" s="172" t="s">
        <v>121</v>
      </c>
      <c r="M45" s="171" t="s">
        <v>122</v>
      </c>
      <c r="N45" s="172" t="s">
        <v>122</v>
      </c>
    </row>
    <row r="46" spans="1:14" s="32" customFormat="1">
      <c r="A46" s="50"/>
      <c r="B46" s="242" t="s">
        <v>95</v>
      </c>
      <c r="C46" s="141" t="s">
        <v>96</v>
      </c>
      <c r="D46" s="153">
        <v>100000</v>
      </c>
      <c r="E46" s="153">
        <v>100000</v>
      </c>
      <c r="F46" s="146">
        <v>100000</v>
      </c>
      <c r="G46" s="153">
        <v>100000</v>
      </c>
      <c r="H46" s="146">
        <v>100000</v>
      </c>
      <c r="I46" s="153">
        <v>100000</v>
      </c>
      <c r="J46" s="146">
        <v>100000</v>
      </c>
      <c r="K46" s="153">
        <v>100000</v>
      </c>
      <c r="L46" s="146">
        <v>100000</v>
      </c>
      <c r="M46" s="153">
        <v>100000</v>
      </c>
      <c r="N46" s="146">
        <v>100000</v>
      </c>
    </row>
    <row r="47" spans="1:14">
      <c r="B47" s="243"/>
      <c r="C47" s="135" t="s">
        <v>97</v>
      </c>
      <c r="D47" s="111" t="s">
        <v>123</v>
      </c>
      <c r="E47" s="111" t="s">
        <v>123</v>
      </c>
      <c r="F47" s="113" t="s">
        <v>123</v>
      </c>
      <c r="G47" s="111" t="s">
        <v>123</v>
      </c>
      <c r="H47" s="113" t="s">
        <v>123</v>
      </c>
      <c r="I47" s="111" t="s">
        <v>123</v>
      </c>
      <c r="J47" s="113" t="s">
        <v>123</v>
      </c>
      <c r="K47" s="111" t="s">
        <v>123</v>
      </c>
      <c r="L47" s="113" t="s">
        <v>123</v>
      </c>
      <c r="M47" s="111" t="s">
        <v>123</v>
      </c>
      <c r="N47" s="113" t="s">
        <v>123</v>
      </c>
    </row>
    <row r="48" spans="1:14" s="39" customFormat="1" ht="25.5">
      <c r="A48" s="57"/>
      <c r="B48" s="243"/>
      <c r="C48" s="142" t="s">
        <v>99</v>
      </c>
      <c r="D48" s="16" t="s">
        <v>100</v>
      </c>
      <c r="E48" s="16" t="s">
        <v>100</v>
      </c>
      <c r="F48" s="154" t="s">
        <v>100</v>
      </c>
      <c r="G48" s="16" t="s">
        <v>100</v>
      </c>
      <c r="H48" s="154" t="s">
        <v>100</v>
      </c>
      <c r="I48" s="16" t="s">
        <v>100</v>
      </c>
      <c r="J48" s="154" t="s">
        <v>100</v>
      </c>
      <c r="K48" s="16" t="s">
        <v>100</v>
      </c>
      <c r="L48" s="154" t="s">
        <v>100</v>
      </c>
      <c r="M48" s="16" t="s">
        <v>100</v>
      </c>
      <c r="N48" s="154" t="s">
        <v>100</v>
      </c>
    </row>
    <row r="49" spans="1:18">
      <c r="B49" s="243"/>
      <c r="C49" s="135" t="s">
        <v>101</v>
      </c>
      <c r="D49" s="82" t="s">
        <v>124</v>
      </c>
      <c r="E49" s="82" t="s">
        <v>124</v>
      </c>
      <c r="F49" s="148" t="s">
        <v>124</v>
      </c>
      <c r="G49" s="82" t="s">
        <v>124</v>
      </c>
      <c r="H49" s="148" t="s">
        <v>124</v>
      </c>
      <c r="I49" s="82" t="s">
        <v>124</v>
      </c>
      <c r="J49" s="148" t="s">
        <v>124</v>
      </c>
      <c r="K49" s="82" t="s">
        <v>124</v>
      </c>
      <c r="L49" s="148" t="s">
        <v>124</v>
      </c>
      <c r="M49" s="82" t="s">
        <v>124</v>
      </c>
      <c r="N49" s="148" t="s">
        <v>124</v>
      </c>
    </row>
    <row r="50" spans="1:18" ht="13.15" thickBot="1">
      <c r="B50" s="246"/>
      <c r="C50" s="143" t="s">
        <v>103</v>
      </c>
      <c r="D50" s="173" t="s">
        <v>125</v>
      </c>
      <c r="E50" s="173" t="s">
        <v>125</v>
      </c>
      <c r="F50" s="174" t="s">
        <v>125</v>
      </c>
      <c r="G50" s="173" t="s">
        <v>125</v>
      </c>
      <c r="H50" s="174" t="s">
        <v>125</v>
      </c>
      <c r="I50" s="173" t="s">
        <v>125</v>
      </c>
      <c r="J50" s="174" t="s">
        <v>125</v>
      </c>
      <c r="K50" s="173" t="s">
        <v>125</v>
      </c>
      <c r="L50" s="174" t="s">
        <v>125</v>
      </c>
      <c r="M50" s="173" t="s">
        <v>125</v>
      </c>
      <c r="N50" s="174" t="s">
        <v>125</v>
      </c>
    </row>
    <row r="51" spans="1:18" ht="13.15" thickTop="1">
      <c r="B51" s="224"/>
      <c r="D51" s="175"/>
      <c r="E51" s="175"/>
      <c r="F51" s="175"/>
      <c r="G51" s="175"/>
      <c r="H51" s="175"/>
      <c r="I51" s="175"/>
      <c r="J51" s="175"/>
      <c r="K51" s="175"/>
      <c r="L51" s="175"/>
      <c r="M51" s="59"/>
      <c r="N51" s="59"/>
    </row>
    <row r="52" spans="1:18" ht="13.15" thickBot="1">
      <c r="B52" s="247" t="s">
        <v>149</v>
      </c>
      <c r="C52" s="248"/>
      <c r="D52" s="175"/>
      <c r="E52" s="175"/>
      <c r="F52" s="175"/>
      <c r="G52" s="175"/>
      <c r="H52" s="175"/>
      <c r="I52" s="175"/>
      <c r="J52" s="175"/>
      <c r="K52" s="59"/>
      <c r="L52" s="59"/>
      <c r="M52" s="60"/>
      <c r="N52" s="61"/>
    </row>
    <row r="53" spans="1:18" s="123" customFormat="1" ht="13.5" thickBot="1">
      <c r="A53" s="122"/>
      <c r="B53" s="274" t="s">
        <v>132</v>
      </c>
      <c r="C53" s="284"/>
      <c r="D53" s="285">
        <v>1688</v>
      </c>
      <c r="E53" s="285">
        <v>1983</v>
      </c>
      <c r="F53" s="285">
        <v>1382</v>
      </c>
      <c r="G53" s="285">
        <v>1195</v>
      </c>
      <c r="H53" s="285">
        <v>955</v>
      </c>
      <c r="I53" s="285">
        <v>916</v>
      </c>
      <c r="J53" s="285">
        <v>885</v>
      </c>
      <c r="K53" s="285">
        <v>753</v>
      </c>
      <c r="L53" s="285">
        <v>704</v>
      </c>
      <c r="M53" s="286">
        <v>780</v>
      </c>
      <c r="N53" s="286">
        <v>739</v>
      </c>
    </row>
    <row r="54" spans="1:18" s="123" customFormat="1" ht="13.5" thickBot="1">
      <c r="A54" s="122"/>
      <c r="B54" s="274" t="s">
        <v>133</v>
      </c>
      <c r="C54" s="284"/>
      <c r="D54" s="285">
        <f>D53/D23</f>
        <v>1831.5972222222222</v>
      </c>
      <c r="E54" s="285">
        <f t="shared" ref="E54:N54" si="17">E53/E23</f>
        <v>2151.6927083333335</v>
      </c>
      <c r="F54" s="285">
        <f t="shared" si="17"/>
        <v>1499.5659722222222</v>
      </c>
      <c r="G54" s="285">
        <f t="shared" si="17"/>
        <v>1296.6579861111111</v>
      </c>
      <c r="H54" s="285">
        <f t="shared" si="17"/>
        <v>1036.2413194444446</v>
      </c>
      <c r="I54" s="285">
        <f t="shared" si="17"/>
        <v>993.92361111111109</v>
      </c>
      <c r="J54" s="285">
        <f t="shared" si="17"/>
        <v>960.28645833333337</v>
      </c>
      <c r="K54" s="285">
        <f t="shared" si="17"/>
        <v>817.05729166666674</v>
      </c>
      <c r="L54" s="285">
        <f t="shared" si="17"/>
        <v>763.88888888888891</v>
      </c>
      <c r="M54" s="285">
        <f t="shared" si="17"/>
        <v>846.35416666666674</v>
      </c>
      <c r="N54" s="287">
        <f t="shared" si="17"/>
        <v>801.86631944444446</v>
      </c>
    </row>
    <row r="55" spans="1:18" s="123" customFormat="1" ht="13.5" thickBot="1">
      <c r="A55" s="122"/>
      <c r="B55" s="274" t="s">
        <v>155</v>
      </c>
      <c r="C55" s="284"/>
      <c r="D55" s="285">
        <f>D54/10.7639</f>
        <v>170.16111467239776</v>
      </c>
      <c r="E55" s="285">
        <f t="shared" ref="E55:N55" si="18">E54/10.7639</f>
        <v>199.89898720104549</v>
      </c>
      <c r="F55" s="285">
        <f t="shared" si="18"/>
        <v>139.31437232064792</v>
      </c>
      <c r="G55" s="285">
        <f t="shared" si="18"/>
        <v>120.46358532791193</v>
      </c>
      <c r="H55" s="285">
        <f t="shared" si="18"/>
        <v>96.270061914774814</v>
      </c>
      <c r="I55" s="285">
        <f t="shared" si="18"/>
        <v>92.338614360140014</v>
      </c>
      <c r="J55" s="285">
        <f t="shared" si="18"/>
        <v>89.21361758594314</v>
      </c>
      <c r="K55" s="285">
        <f t="shared" si="18"/>
        <v>75.907179708717734</v>
      </c>
      <c r="L55" s="285">
        <f t="shared" si="18"/>
        <v>70.96766867853556</v>
      </c>
      <c r="M55" s="285">
        <f t="shared" si="18"/>
        <v>78.628951092695658</v>
      </c>
      <c r="N55" s="287">
        <f t="shared" si="18"/>
        <v>74.495890842951397</v>
      </c>
    </row>
    <row r="56" spans="1:18" s="4" customFormat="1">
      <c r="A56" s="7"/>
    </row>
    <row r="57" spans="1:18" s="4" customFormat="1" ht="14.25">
      <c r="A57" s="7"/>
      <c r="B57" s="3" t="s">
        <v>163</v>
      </c>
      <c r="C57" s="3"/>
      <c r="D57" s="217">
        <f>D55*1.1</f>
        <v>187.17722613963755</v>
      </c>
      <c r="E57" s="217">
        <f t="shared" ref="E57:N57" si="19">E55*1.1</f>
        <v>219.88888592115006</v>
      </c>
      <c r="F57" s="217">
        <f t="shared" si="19"/>
        <v>153.24580955271273</v>
      </c>
      <c r="G57" s="217">
        <f t="shared" si="19"/>
        <v>132.50994386070315</v>
      </c>
      <c r="H57" s="217">
        <f t="shared" si="19"/>
        <v>105.89706810625231</v>
      </c>
      <c r="I57" s="217">
        <f t="shared" si="19"/>
        <v>101.57247579615402</v>
      </c>
      <c r="J57" s="217">
        <f t="shared" si="19"/>
        <v>98.134979344537456</v>
      </c>
      <c r="K57" s="217">
        <f t="shared" si="19"/>
        <v>83.497897679589514</v>
      </c>
      <c r="L57" s="217">
        <f t="shared" si="19"/>
        <v>78.06443554638912</v>
      </c>
      <c r="M57" s="217">
        <f t="shared" si="19"/>
        <v>86.491846201965231</v>
      </c>
      <c r="N57" s="217">
        <f t="shared" si="19"/>
        <v>81.945479927246538</v>
      </c>
      <c r="O57"/>
      <c r="P57"/>
      <c r="Q57"/>
      <c r="R57"/>
    </row>
    <row r="58" spans="1:18" s="4" customFormat="1" ht="14.25">
      <c r="A58" s="7"/>
      <c r="B58" s="3" t="s">
        <v>162</v>
      </c>
      <c r="C58" s="3"/>
      <c r="D58" s="216">
        <f>D57*1.05</f>
        <v>196.53608744661943</v>
      </c>
      <c r="E58" s="216">
        <f t="shared" ref="E58:N58" si="20">E57*1.05</f>
        <v>230.88333021720757</v>
      </c>
      <c r="F58" s="216">
        <f t="shared" si="20"/>
        <v>160.90810003034838</v>
      </c>
      <c r="G58" s="216">
        <f t="shared" si="20"/>
        <v>139.1354410537383</v>
      </c>
      <c r="H58" s="216">
        <f t="shared" si="20"/>
        <v>111.19192151156493</v>
      </c>
      <c r="I58" s="216">
        <f t="shared" si="20"/>
        <v>106.65109958596173</v>
      </c>
      <c r="J58" s="216">
        <f t="shared" si="20"/>
        <v>103.04172831176433</v>
      </c>
      <c r="K58" s="216">
        <f t="shared" si="20"/>
        <v>87.67279256356899</v>
      </c>
      <c r="L58" s="216">
        <f t="shared" si="20"/>
        <v>81.967657323708579</v>
      </c>
      <c r="M58" s="216">
        <f t="shared" si="20"/>
        <v>90.816438512063499</v>
      </c>
      <c r="N58" s="216">
        <f t="shared" si="20"/>
        <v>86.042753923608871</v>
      </c>
      <c r="O58"/>
      <c r="P58"/>
      <c r="Q58"/>
      <c r="R58"/>
    </row>
    <row r="59" spans="1:18" s="4" customFormat="1" ht="14.25">
      <c r="A59" s="7"/>
      <c r="B59" s="282" t="s">
        <v>161</v>
      </c>
      <c r="C59" s="282"/>
      <c r="D59" s="283">
        <f>D58*1.28</f>
        <v>251.56619193167288</v>
      </c>
      <c r="E59" s="283">
        <f t="shared" ref="E59:N59" si="21">E58*1.28</f>
        <v>295.53066267802569</v>
      </c>
      <c r="F59" s="283">
        <f t="shared" si="21"/>
        <v>205.96236803884594</v>
      </c>
      <c r="G59" s="283">
        <f t="shared" si="21"/>
        <v>178.09336454878505</v>
      </c>
      <c r="H59" s="283">
        <f t="shared" si="21"/>
        <v>142.32565953480312</v>
      </c>
      <c r="I59" s="283">
        <f t="shared" si="21"/>
        <v>136.51340747003101</v>
      </c>
      <c r="J59" s="283">
        <f t="shared" si="21"/>
        <v>131.89341223905834</v>
      </c>
      <c r="K59" s="283">
        <f t="shared" si="21"/>
        <v>112.22117448136831</v>
      </c>
      <c r="L59" s="283">
        <f t="shared" si="21"/>
        <v>104.91860137434698</v>
      </c>
      <c r="M59" s="283">
        <f t="shared" si="21"/>
        <v>116.24504129544128</v>
      </c>
      <c r="N59" s="283">
        <f t="shared" si="21"/>
        <v>110.13472502221936</v>
      </c>
      <c r="O59"/>
      <c r="P59"/>
      <c r="Q59"/>
      <c r="R59"/>
    </row>
    <row r="60" spans="1:18" s="4" customFormat="1" ht="14.25">
      <c r="A60" s="7"/>
      <c r="C60" s="4" t="s">
        <v>166</v>
      </c>
      <c r="D60" s="288">
        <f>960/24.5/12</f>
        <v>3.2653061224489797</v>
      </c>
      <c r="E60" s="288">
        <f t="shared" ref="E60:N61" si="22">960/24.5/12</f>
        <v>3.2653061224489797</v>
      </c>
      <c r="F60" s="288">
        <f t="shared" si="22"/>
        <v>3.2653061224489797</v>
      </c>
      <c r="G60" s="288">
        <f t="shared" si="22"/>
        <v>3.2653061224489797</v>
      </c>
      <c r="H60" s="288">
        <f t="shared" si="22"/>
        <v>3.2653061224489797</v>
      </c>
      <c r="I60" s="288">
        <f t="shared" si="22"/>
        <v>3.2653061224489797</v>
      </c>
      <c r="J60" s="288">
        <f t="shared" si="22"/>
        <v>3.2653061224489797</v>
      </c>
      <c r="K60" s="288">
        <f t="shared" si="22"/>
        <v>3.2653061224489797</v>
      </c>
      <c r="L60" s="288">
        <f t="shared" si="22"/>
        <v>3.2653061224489797</v>
      </c>
      <c r="M60" s="288">
        <f t="shared" si="22"/>
        <v>3.2653061224489797</v>
      </c>
      <c r="N60" s="288">
        <f t="shared" si="22"/>
        <v>3.2653061224489797</v>
      </c>
      <c r="O60"/>
      <c r="P60"/>
      <c r="Q60"/>
      <c r="R60"/>
    </row>
    <row r="61" spans="1:18" s="4" customFormat="1" ht="14.25">
      <c r="A61" s="7"/>
      <c r="C61" s="4" t="s">
        <v>167</v>
      </c>
      <c r="D61" s="288">
        <f>960/24.5/12</f>
        <v>3.2653061224489797</v>
      </c>
      <c r="E61" s="288">
        <f t="shared" si="22"/>
        <v>3.2653061224489797</v>
      </c>
      <c r="F61" s="288">
        <f t="shared" si="22"/>
        <v>3.2653061224489797</v>
      </c>
      <c r="G61" s="288">
        <f t="shared" si="22"/>
        <v>3.2653061224489797</v>
      </c>
      <c r="H61" s="288">
        <f t="shared" si="22"/>
        <v>3.2653061224489797</v>
      </c>
      <c r="I61" s="288">
        <f t="shared" si="22"/>
        <v>3.2653061224489797</v>
      </c>
      <c r="J61" s="288">
        <f t="shared" si="22"/>
        <v>3.2653061224489797</v>
      </c>
      <c r="K61" s="288">
        <f t="shared" si="22"/>
        <v>3.2653061224489797</v>
      </c>
      <c r="L61" s="288">
        <f t="shared" si="22"/>
        <v>3.2653061224489797</v>
      </c>
      <c r="M61" s="288">
        <f t="shared" si="22"/>
        <v>3.2653061224489797</v>
      </c>
      <c r="N61" s="288">
        <f t="shared" si="22"/>
        <v>3.2653061224489797</v>
      </c>
      <c r="O61"/>
      <c r="P61"/>
      <c r="Q61"/>
      <c r="R61"/>
    </row>
    <row r="62" spans="1:18" ht="14.25">
      <c r="C62" s="4" t="s">
        <v>168</v>
      </c>
      <c r="D62" s="289">
        <f>D60/4</f>
        <v>0.81632653061224492</v>
      </c>
      <c r="E62" s="289">
        <f t="shared" ref="E62:N62" si="23">E60/4</f>
        <v>0.81632653061224492</v>
      </c>
      <c r="F62" s="289">
        <f t="shared" si="23"/>
        <v>0.81632653061224492</v>
      </c>
      <c r="G62" s="289">
        <f t="shared" si="23"/>
        <v>0.81632653061224492</v>
      </c>
      <c r="H62" s="289">
        <f t="shared" si="23"/>
        <v>0.81632653061224492</v>
      </c>
      <c r="I62" s="289">
        <f t="shared" si="23"/>
        <v>0.81632653061224492</v>
      </c>
      <c r="J62" s="289">
        <f t="shared" si="23"/>
        <v>0.81632653061224492</v>
      </c>
      <c r="K62" s="289">
        <f t="shared" si="23"/>
        <v>0.81632653061224492</v>
      </c>
      <c r="L62" s="289">
        <f t="shared" si="23"/>
        <v>0.81632653061224492</v>
      </c>
      <c r="M62" s="289">
        <f t="shared" si="23"/>
        <v>0.81632653061224492</v>
      </c>
      <c r="N62" s="289">
        <f t="shared" si="23"/>
        <v>0.81632653061224492</v>
      </c>
      <c r="O62"/>
      <c r="P62"/>
      <c r="Q62"/>
      <c r="R62"/>
    </row>
    <row r="63" spans="1:18">
      <c r="C63" s="4" t="s">
        <v>169</v>
      </c>
      <c r="D63" s="289">
        <f>D61/4</f>
        <v>0.81632653061224492</v>
      </c>
      <c r="E63" s="289">
        <f t="shared" ref="E63:N63" si="24">E61/4</f>
        <v>0.81632653061224492</v>
      </c>
      <c r="F63" s="289">
        <f t="shared" si="24"/>
        <v>0.81632653061224492</v>
      </c>
      <c r="G63" s="289">
        <f t="shared" si="24"/>
        <v>0.81632653061224492</v>
      </c>
      <c r="H63" s="289">
        <f t="shared" si="24"/>
        <v>0.81632653061224492</v>
      </c>
      <c r="I63" s="289">
        <f t="shared" si="24"/>
        <v>0.81632653061224492</v>
      </c>
      <c r="J63" s="289">
        <f t="shared" si="24"/>
        <v>0.81632653061224492</v>
      </c>
      <c r="K63" s="289">
        <f t="shared" si="24"/>
        <v>0.81632653061224492</v>
      </c>
      <c r="L63" s="289">
        <f t="shared" si="24"/>
        <v>0.81632653061224492</v>
      </c>
      <c r="M63" s="289">
        <f t="shared" si="24"/>
        <v>0.81632653061224492</v>
      </c>
      <c r="N63" s="289">
        <f t="shared" si="24"/>
        <v>0.81632653061224492</v>
      </c>
    </row>
    <row r="64" spans="1:18" s="4" customFormat="1" ht="14.25">
      <c r="A64" s="7"/>
      <c r="B64" s="282" t="s">
        <v>170</v>
      </c>
      <c r="C64" s="282"/>
      <c r="D64" s="283">
        <f>D59*1.1</f>
        <v>276.72281112484018</v>
      </c>
      <c r="E64" s="283">
        <f t="shared" ref="E64:N64" si="25">E59*1.1</f>
        <v>325.08372894582828</v>
      </c>
      <c r="F64" s="283">
        <f t="shared" si="25"/>
        <v>226.55860484273055</v>
      </c>
      <c r="G64" s="283">
        <f t="shared" si="25"/>
        <v>195.90270100366357</v>
      </c>
      <c r="H64" s="283">
        <f t="shared" si="25"/>
        <v>156.55822548828345</v>
      </c>
      <c r="I64" s="283">
        <f t="shared" si="25"/>
        <v>150.16474821703412</v>
      </c>
      <c r="J64" s="283">
        <f t="shared" si="25"/>
        <v>145.08275346296418</v>
      </c>
      <c r="K64" s="283">
        <f t="shared" si="25"/>
        <v>123.44329192950515</v>
      </c>
      <c r="L64" s="283">
        <f t="shared" si="25"/>
        <v>115.41046151178169</v>
      </c>
      <c r="M64" s="283">
        <f t="shared" si="25"/>
        <v>127.86954542498542</v>
      </c>
      <c r="N64" s="283">
        <f t="shared" si="25"/>
        <v>121.1481975244413</v>
      </c>
      <c r="O64"/>
      <c r="P64"/>
      <c r="Q64"/>
      <c r="R64"/>
    </row>
  </sheetData>
  <mergeCells count="19">
    <mergeCell ref="M4:N4"/>
    <mergeCell ref="M5:N5"/>
    <mergeCell ref="E5:F5"/>
    <mergeCell ref="G5:H5"/>
    <mergeCell ref="K5:L5"/>
    <mergeCell ref="I5:J5"/>
    <mergeCell ref="B55:C55"/>
    <mergeCell ref="B2:C2"/>
    <mergeCell ref="E4:F4"/>
    <mergeCell ref="G4:H4"/>
    <mergeCell ref="K4:L4"/>
    <mergeCell ref="I4:J4"/>
    <mergeCell ref="B53:C53"/>
    <mergeCell ref="B54:C54"/>
    <mergeCell ref="B8:B29"/>
    <mergeCell ref="B30:B39"/>
    <mergeCell ref="B40:B45"/>
    <mergeCell ref="B46:B50"/>
    <mergeCell ref="B52:C52"/>
  </mergeCells>
  <phoneticPr fontId="20" type="noConversion"/>
  <pageMargins left="0.23622047244094499" right="0.23622047244094499" top="0.23622047244094499" bottom="0.23622047244094499" header="0.31496062992126" footer="0.31496062992126"/>
  <pageSetup paperSize="9" scale="6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1FF054CD1264AA1B056CFE5CBAEE3" ma:contentTypeVersion="19" ma:contentTypeDescription="Create a new document." ma:contentTypeScope="" ma:versionID="4804b031893c8c0373a41be8535a866a">
  <xsd:schema xmlns:xsd="http://www.w3.org/2001/XMLSchema" xmlns:xs="http://www.w3.org/2001/XMLSchema" xmlns:p="http://schemas.microsoft.com/office/2006/metadata/properties" xmlns:ns2="912cacbf-97a4-4730-b8b2-6ae9adff5725" xmlns:ns3="0ca60982-8454-4f81-8091-07a5d1f7fc2a" targetNamespace="http://schemas.microsoft.com/office/2006/metadata/properties" ma:root="true" ma:fieldsID="df84ff65951c6a18fa30fa41af84c54e" ns2:_="" ns3:_="">
    <xsd:import namespace="912cacbf-97a4-4730-b8b2-6ae9adff5725"/>
    <xsd:import namespace="0ca60982-8454-4f81-8091-07a5d1f7fc2a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cacbf-97a4-4730-b8b2-6ae9adff5725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a7a3944-df26-4da5-a18a-cb2338e9f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60982-8454-4f81-8091-07a5d1f7fc2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400af9f-7f83-48f8-83e8-314c9bb04082}" ma:internalName="TaxCatchAll" ma:showField="CatchAllData" ma:web="0ca60982-8454-4f81-8091-07a5d1f7fc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2cacbf-97a4-4730-b8b2-6ae9adff5725">
      <Terms xmlns="http://schemas.microsoft.com/office/infopath/2007/PartnerControls"/>
    </lcf76f155ced4ddcb4097134ff3c332f>
    <MigrationWizIdPermissions xmlns="912cacbf-97a4-4730-b8b2-6ae9adff5725" xsi:nil="true"/>
    <TaxCatchAll xmlns="0ca60982-8454-4f81-8091-07a5d1f7fc2a" xsi:nil="true"/>
    <MigrationWizId xmlns="912cacbf-97a4-4730-b8b2-6ae9adff5725" xsi:nil="true"/>
    <MigrationWizIdVersion xmlns="912cacbf-97a4-4730-b8b2-6ae9adff5725" xsi:nil="true"/>
  </documentManagement>
</p:properties>
</file>

<file path=customXml/itemProps1.xml><?xml version="1.0" encoding="utf-8"?>
<ds:datastoreItem xmlns:ds="http://schemas.openxmlformats.org/officeDocument/2006/customXml" ds:itemID="{FA344C5C-1C56-4F6C-A2E8-71EF66E4F8CF}"/>
</file>

<file path=customXml/itemProps2.xml><?xml version="1.0" encoding="utf-8"?>
<ds:datastoreItem xmlns:ds="http://schemas.openxmlformats.org/officeDocument/2006/customXml" ds:itemID="{5A5BBB27-940F-4A11-91B0-31ABBF97082E}"/>
</file>

<file path=customXml/itemProps3.xml><?xml version="1.0" encoding="utf-8"?>
<ds:datastoreItem xmlns:ds="http://schemas.openxmlformats.org/officeDocument/2006/customXml" ds:itemID="{24BECC8B-61D2-400A-92EF-E61C0B8B4F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NX Outdoor Sport</vt:lpstr>
      <vt:lpstr>NX Indoor Sport</vt:lpstr>
      <vt:lpstr>'NX Indoor Sport'!Print_Area</vt:lpstr>
      <vt:lpstr>'NX Outdoor Sport'!Print_Area</vt:lpstr>
      <vt:lpstr>'NX Indoor Sport'!Print_Titles</vt:lpstr>
      <vt:lpstr>'NX Outdoor Sport'!Print_Titles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Josephine YUEN (LH-HK)</dc:creator>
  <cp:lastModifiedBy>Eric Gruner</cp:lastModifiedBy>
  <cp:lastPrinted>2018-10-15T08:28:00Z</cp:lastPrinted>
  <dcterms:created xsi:type="dcterms:W3CDTF">2016-03-24T04:08:00Z</dcterms:created>
  <dcterms:modified xsi:type="dcterms:W3CDTF">2026-02-16T18:08:47Z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61D467AE7166427680BE7B828A7FE231_13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0x0101003A81FF054CD1264AA1B056CFE5CBAEE3</vt:lpwstr>
  </property>
</Properties>
</file>